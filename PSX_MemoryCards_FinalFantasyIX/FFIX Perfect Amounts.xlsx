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5" windowWidth="9555" windowHeight="7740" tabRatio="998"/>
  </bookViews>
  <sheets>
    <sheet name="Instructions" sheetId="3" r:id="rId1"/>
    <sheet name="Perfect Amounts" sheetId="7" r:id="rId2"/>
    <sheet name="Future Treasures" sheetId="10" r:id="rId3"/>
    <sheet name="Buying and Synthing" sheetId="8" r:id="rId4"/>
    <sheet name="Math Behind This" sheetId="11" r:id="rId5"/>
  </sheets>
  <calcPr calcId="145621"/>
</workbook>
</file>

<file path=xl/calcChain.xml><?xml version="1.0" encoding="utf-8"?>
<calcChain xmlns="http://schemas.openxmlformats.org/spreadsheetml/2006/main">
  <c r="A5" i="8" l="1"/>
  <c r="A167" i="8" l="1"/>
  <c r="E167" i="8" s="1"/>
  <c r="B169" i="8" s="1"/>
  <c r="L7" i="8"/>
  <c r="L6" i="8"/>
  <c r="L5" i="8"/>
  <c r="L4" i="8"/>
  <c r="L56" i="8"/>
  <c r="L55" i="8"/>
  <c r="L54" i="8"/>
  <c r="L53" i="8"/>
  <c r="L52" i="8"/>
  <c r="L51" i="8"/>
  <c r="L50" i="8"/>
  <c r="L49" i="8"/>
  <c r="L48" i="8"/>
  <c r="L47" i="8"/>
  <c r="L46" i="8"/>
  <c r="L45" i="8"/>
  <c r="L44" i="8"/>
  <c r="L43" i="8"/>
  <c r="L42" i="8"/>
  <c r="L41" i="8"/>
  <c r="L40" i="8"/>
  <c r="L39" i="8"/>
  <c r="L38" i="8"/>
  <c r="L37" i="8"/>
  <c r="L36" i="8"/>
  <c r="L35" i="8"/>
  <c r="L34" i="8"/>
  <c r="L33" i="8"/>
  <c r="L32" i="8"/>
  <c r="L12" i="8"/>
  <c r="L31" i="8"/>
  <c r="L30" i="8"/>
  <c r="L29" i="8"/>
  <c r="L28" i="8"/>
  <c r="L27" i="8"/>
  <c r="L26" i="8"/>
  <c r="L25" i="8"/>
  <c r="L24" i="8"/>
  <c r="L23" i="8"/>
  <c r="L22" i="8"/>
  <c r="L21" i="8"/>
  <c r="L20" i="8"/>
  <c r="L19" i="8"/>
  <c r="L18" i="8"/>
  <c r="L17" i="8"/>
  <c r="L16" i="8"/>
  <c r="L15" i="8"/>
  <c r="L14" i="8"/>
  <c r="L11" i="8"/>
  <c r="L13" i="8"/>
  <c r="A208" i="8" l="1"/>
  <c r="A206" i="8"/>
  <c r="A142" i="8"/>
  <c r="A149" i="8"/>
  <c r="A152" i="8"/>
  <c r="A153" i="8"/>
  <c r="A155" i="8"/>
  <c r="A160" i="8"/>
  <c r="A177" i="8"/>
  <c r="A176" i="8"/>
  <c r="A175" i="8"/>
  <c r="A174" i="8"/>
  <c r="A161" i="8"/>
  <c r="A159" i="8"/>
  <c r="A158" i="8"/>
  <c r="A148" i="8"/>
  <c r="A145" i="8"/>
  <c r="A129" i="8"/>
  <c r="A110" i="8"/>
  <c r="A101" i="8"/>
  <c r="A97" i="8"/>
  <c r="A86" i="8"/>
  <c r="A79" i="8"/>
  <c r="A78" i="8"/>
  <c r="A76" i="8"/>
  <c r="A66" i="8"/>
  <c r="A65" i="8"/>
  <c r="A63" i="8"/>
  <c r="A61" i="8"/>
  <c r="A57" i="8"/>
  <c r="A52" i="8"/>
  <c r="A43" i="8"/>
  <c r="A42" i="8"/>
  <c r="A39" i="8"/>
  <c r="A38" i="8"/>
  <c r="A31" i="8"/>
  <c r="A30" i="8"/>
  <c r="A77" i="8"/>
  <c r="E77" i="8" s="1"/>
  <c r="A29" i="8"/>
  <c r="E29" i="8" s="1"/>
  <c r="A22" i="8"/>
  <c r="A16" i="8"/>
  <c r="A15" i="8"/>
  <c r="A9" i="8"/>
  <c r="A7" i="8"/>
  <c r="A88" i="8" l="1"/>
  <c r="A87" i="8"/>
  <c r="A228" i="8"/>
  <c r="A144" i="8"/>
  <c r="A143" i="8"/>
  <c r="A117" i="8"/>
  <c r="A8" i="8"/>
  <c r="A202" i="8"/>
  <c r="A189" i="8"/>
  <c r="A200" i="8"/>
  <c r="A34" i="8"/>
  <c r="A187" i="8"/>
  <c r="A221" i="8"/>
  <c r="A99" i="8"/>
  <c r="A20" i="8"/>
  <c r="A54" i="8"/>
  <c r="A230" i="8"/>
  <c r="A231" i="8"/>
  <c r="A40" i="8" l="1"/>
  <c r="A229" i="8"/>
  <c r="D222" i="8"/>
  <c r="A222" i="8"/>
  <c r="D221" i="8"/>
  <c r="A207" i="8"/>
  <c r="A205" i="8"/>
  <c r="A204" i="8"/>
  <c r="A203" i="8"/>
  <c r="A201" i="8"/>
  <c r="A199" i="8"/>
  <c r="A198" i="8"/>
  <c r="A197" i="8"/>
  <c r="A196" i="8"/>
  <c r="D190" i="8"/>
  <c r="A190" i="8"/>
  <c r="D189" i="8"/>
  <c r="D188" i="8"/>
  <c r="A188" i="8"/>
  <c r="D187" i="8"/>
  <c r="D186" i="8"/>
  <c r="A186" i="8"/>
  <c r="D185" i="8"/>
  <c r="A185" i="8"/>
  <c r="A179" i="8"/>
  <c r="A178" i="8"/>
  <c r="A173" i="8"/>
  <c r="A157" i="8"/>
  <c r="A156" i="8"/>
  <c r="A154" i="8"/>
  <c r="A151" i="8"/>
  <c r="A150" i="8"/>
  <c r="A147" i="8"/>
  <c r="A146" i="8"/>
  <c r="A141" i="8"/>
  <c r="A140" i="8"/>
  <c r="A139" i="8"/>
  <c r="A138" i="8"/>
  <c r="D132" i="8"/>
  <c r="A132" i="8"/>
  <c r="D131" i="8"/>
  <c r="A131" i="8"/>
  <c r="D130" i="8"/>
  <c r="A130" i="8"/>
  <c r="D129" i="8"/>
  <c r="D128" i="8"/>
  <c r="A128" i="8"/>
  <c r="D127" i="8"/>
  <c r="A127" i="8"/>
  <c r="D126" i="8"/>
  <c r="A126" i="8"/>
  <c r="D120" i="8"/>
  <c r="A120" i="8"/>
  <c r="D119" i="8"/>
  <c r="A119" i="8"/>
  <c r="D118" i="8"/>
  <c r="A118" i="8"/>
  <c r="D117" i="8"/>
  <c r="D116" i="8"/>
  <c r="A116" i="8"/>
  <c r="D115" i="8"/>
  <c r="A115" i="8"/>
  <c r="D114" i="8"/>
  <c r="A114" i="8"/>
  <c r="D113" i="8"/>
  <c r="A113" i="8"/>
  <c r="D112" i="8"/>
  <c r="A112" i="8"/>
  <c r="D111" i="8"/>
  <c r="A111" i="8"/>
  <c r="D110" i="8"/>
  <c r="D109" i="8"/>
  <c r="A109" i="8"/>
  <c r="D108" i="8"/>
  <c r="A108" i="8"/>
  <c r="D107" i="8"/>
  <c r="A107" i="8"/>
  <c r="D106" i="8"/>
  <c r="A106" i="8"/>
  <c r="D105" i="8"/>
  <c r="A105" i="8"/>
  <c r="D104" i="8"/>
  <c r="A104" i="8"/>
  <c r="D103" i="8"/>
  <c r="D102" i="8"/>
  <c r="A102" i="8"/>
  <c r="D101" i="8"/>
  <c r="D100" i="8"/>
  <c r="A100" i="8"/>
  <c r="D99" i="8"/>
  <c r="D98" i="8"/>
  <c r="A98" i="8"/>
  <c r="D97" i="8"/>
  <c r="D96" i="8"/>
  <c r="A96" i="8"/>
  <c r="D95" i="8"/>
  <c r="A95" i="8"/>
  <c r="D94" i="8"/>
  <c r="A94" i="8"/>
  <c r="D88" i="8"/>
  <c r="D87" i="8"/>
  <c r="D86" i="8"/>
  <c r="D85" i="8"/>
  <c r="A85" i="8"/>
  <c r="D84" i="8"/>
  <c r="A84" i="8"/>
  <c r="D83" i="8"/>
  <c r="A83" i="8"/>
  <c r="D82" i="8"/>
  <c r="A82" i="8"/>
  <c r="D81" i="8"/>
  <c r="A81" i="8"/>
  <c r="D80" i="8"/>
  <c r="A80" i="8"/>
  <c r="D79" i="8"/>
  <c r="D78" i="8"/>
  <c r="D77" i="8"/>
  <c r="D76" i="8"/>
  <c r="D75" i="8"/>
  <c r="A75" i="8"/>
  <c r="D74" i="8"/>
  <c r="A74" i="8"/>
  <c r="D73" i="8"/>
  <c r="A73" i="8"/>
  <c r="D67" i="8"/>
  <c r="A67" i="8"/>
  <c r="D66" i="8"/>
  <c r="D65" i="8"/>
  <c r="D64" i="8"/>
  <c r="A64" i="8"/>
  <c r="D63" i="8"/>
  <c r="D62" i="8"/>
  <c r="A62" i="8"/>
  <c r="D61" i="8"/>
  <c r="D60" i="8"/>
  <c r="A60" i="8"/>
  <c r="D59" i="8"/>
  <c r="A59" i="8"/>
  <c r="D58" i="8"/>
  <c r="A58" i="8"/>
  <c r="D57" i="8"/>
  <c r="D56" i="8"/>
  <c r="A56" i="8"/>
  <c r="D55" i="8"/>
  <c r="A55" i="8"/>
  <c r="D54" i="8"/>
  <c r="D53" i="8"/>
  <c r="A53" i="8"/>
  <c r="D52" i="8"/>
  <c r="D46" i="8"/>
  <c r="A46" i="8"/>
  <c r="D45" i="8"/>
  <c r="A45" i="8"/>
  <c r="D44" i="8"/>
  <c r="A44" i="8"/>
  <c r="D43" i="8"/>
  <c r="D42" i="8"/>
  <c r="D41" i="8"/>
  <c r="A41" i="8"/>
  <c r="D40" i="8"/>
  <c r="D39" i="8"/>
  <c r="D38" i="8"/>
  <c r="D37" i="8"/>
  <c r="A37" i="8"/>
  <c r="D36" i="8"/>
  <c r="A36" i="8"/>
  <c r="D35" i="8"/>
  <c r="A35" i="8"/>
  <c r="D34" i="8"/>
  <c r="D33" i="8"/>
  <c r="A33" i="8"/>
  <c r="D32" i="8"/>
  <c r="A32" i="8"/>
  <c r="D31" i="8"/>
  <c r="D30" i="8"/>
  <c r="D29" i="8"/>
  <c r="D28" i="8"/>
  <c r="A28" i="8"/>
  <c r="D27" i="8"/>
  <c r="A27" i="8"/>
  <c r="D26" i="8"/>
  <c r="A26" i="8"/>
  <c r="D25" i="8"/>
  <c r="A25" i="8"/>
  <c r="D24" i="8"/>
  <c r="A24" i="8"/>
  <c r="D23" i="8"/>
  <c r="A23" i="8"/>
  <c r="D22" i="8"/>
  <c r="D21" i="8"/>
  <c r="A21" i="8"/>
  <c r="D20" i="8"/>
  <c r="D19" i="8"/>
  <c r="A19" i="8"/>
  <c r="D18" i="8"/>
  <c r="A18" i="8"/>
  <c r="D17" i="8"/>
  <c r="A17" i="8"/>
  <c r="D16" i="8"/>
  <c r="D15" i="8"/>
  <c r="E16" i="8" l="1"/>
  <c r="E17" i="8"/>
  <c r="E18" i="8"/>
  <c r="E19" i="8"/>
  <c r="E20" i="8"/>
  <c r="E21" i="8"/>
  <c r="E22" i="8"/>
  <c r="E23" i="8"/>
  <c r="E24" i="8"/>
  <c r="E25" i="8"/>
  <c r="E26" i="8"/>
  <c r="E27" i="8"/>
  <c r="E28" i="8"/>
  <c r="E30" i="8"/>
  <c r="E31" i="8"/>
  <c r="E32" i="8"/>
  <c r="E33" i="8"/>
  <c r="E34" i="8"/>
  <c r="E35" i="8"/>
  <c r="E36" i="8"/>
  <c r="E37" i="8"/>
  <c r="E38" i="8"/>
  <c r="E39" i="8"/>
  <c r="E40" i="8"/>
  <c r="E41" i="8"/>
  <c r="E42" i="8"/>
  <c r="E43" i="8"/>
  <c r="E44" i="8"/>
  <c r="E45" i="8"/>
  <c r="E52" i="8"/>
  <c r="E53" i="8"/>
  <c r="E54" i="8"/>
  <c r="E55" i="8"/>
  <c r="E56" i="8"/>
  <c r="E57" i="8"/>
  <c r="E58" i="8"/>
  <c r="E59" i="8"/>
  <c r="E60" i="8"/>
  <c r="E61" i="8"/>
  <c r="E62" i="8"/>
  <c r="E63" i="8"/>
  <c r="E64" i="8"/>
  <c r="E65" i="8"/>
  <c r="E66" i="8"/>
  <c r="E73" i="8"/>
  <c r="E74" i="8"/>
  <c r="E75" i="8"/>
  <c r="E76" i="8"/>
  <c r="E78" i="8"/>
  <c r="E79" i="8"/>
  <c r="E80" i="8"/>
  <c r="E81" i="8"/>
  <c r="E82" i="8"/>
  <c r="E83" i="8"/>
  <c r="E84" i="8"/>
  <c r="E85" i="8"/>
  <c r="E86" i="8"/>
  <c r="E87" i="8"/>
  <c r="E94" i="8"/>
  <c r="E95" i="8"/>
  <c r="E96" i="8"/>
  <c r="E97" i="8"/>
  <c r="E98" i="8"/>
  <c r="E99" i="8"/>
  <c r="E100" i="8"/>
  <c r="E101" i="8"/>
  <c r="E102" i="8"/>
  <c r="E104" i="8"/>
  <c r="E105" i="8"/>
  <c r="E106" i="8"/>
  <c r="E107" i="8"/>
  <c r="E108" i="8"/>
  <c r="E109" i="8"/>
  <c r="E110" i="8"/>
  <c r="E111" i="8"/>
  <c r="E112" i="8"/>
  <c r="E113" i="8"/>
  <c r="E114" i="8"/>
  <c r="E115" i="8"/>
  <c r="E116" i="8"/>
  <c r="E117" i="8"/>
  <c r="E118" i="8"/>
  <c r="E119" i="8"/>
  <c r="E126" i="8"/>
  <c r="E127" i="8"/>
  <c r="E128" i="8"/>
  <c r="E129" i="8"/>
  <c r="E130" i="8"/>
  <c r="E131" i="8"/>
  <c r="E138" i="8"/>
  <c r="E139" i="8"/>
  <c r="E140" i="8"/>
  <c r="E141" i="8"/>
  <c r="E142" i="8"/>
  <c r="E143" i="8"/>
  <c r="E144" i="8"/>
  <c r="E145" i="8"/>
  <c r="E146" i="8"/>
  <c r="E147" i="8"/>
  <c r="E148" i="8"/>
  <c r="E149" i="8"/>
  <c r="E150" i="8"/>
  <c r="E151" i="8"/>
  <c r="E152" i="8"/>
  <c r="E153" i="8"/>
  <c r="E154" i="8"/>
  <c r="E155" i="8"/>
  <c r="E156" i="8"/>
  <c r="E157" i="8"/>
  <c r="E158" i="8"/>
  <c r="E159" i="8"/>
  <c r="E160" i="8"/>
  <c r="E173" i="8"/>
  <c r="E174" i="8"/>
  <c r="E175" i="8"/>
  <c r="E176" i="8"/>
  <c r="E177" i="8"/>
  <c r="E178" i="8"/>
  <c r="E185" i="8"/>
  <c r="E186" i="8"/>
  <c r="E187" i="8"/>
  <c r="E188" i="8"/>
  <c r="E189" i="8"/>
  <c r="E196" i="8"/>
  <c r="E197" i="8"/>
  <c r="E198" i="8"/>
  <c r="E199" i="8"/>
  <c r="E200" i="8"/>
  <c r="E201" i="8"/>
  <c r="E202" i="8"/>
  <c r="E203" i="8"/>
  <c r="E204" i="8"/>
  <c r="E205" i="8"/>
  <c r="E206" i="8"/>
  <c r="E207" i="8"/>
  <c r="E221" i="8"/>
  <c r="E228" i="8"/>
  <c r="E229" i="8"/>
  <c r="E230" i="8"/>
  <c r="E15" i="8"/>
  <c r="D9" i="8"/>
  <c r="D8" i="8"/>
  <c r="D7" i="8"/>
  <c r="D6" i="8"/>
  <c r="A6" i="8"/>
  <c r="D5" i="8"/>
  <c r="C209" i="7"/>
  <c r="C208" i="7"/>
  <c r="C207" i="7"/>
  <c r="C206" i="7"/>
  <c r="C205" i="7"/>
  <c r="C204" i="7"/>
  <c r="C203" i="7"/>
  <c r="C202" i="7"/>
  <c r="C201" i="7"/>
  <c r="C200" i="7"/>
  <c r="C199" i="7"/>
  <c r="C198" i="7"/>
  <c r="C186" i="7"/>
  <c r="C185" i="7"/>
  <c r="C184" i="7"/>
  <c r="C183" i="7"/>
  <c r="C182" i="7"/>
  <c r="C181" i="7"/>
  <c r="C180" i="7"/>
  <c r="C179" i="7"/>
  <c r="C178" i="7"/>
  <c r="C177" i="7"/>
  <c r="C176" i="7"/>
  <c r="C175" i="7"/>
  <c r="C174" i="7"/>
  <c r="C173" i="7"/>
  <c r="C172" i="7"/>
  <c r="C171" i="7"/>
  <c r="C170" i="7"/>
  <c r="C166" i="7"/>
  <c r="C165" i="7"/>
  <c r="C164" i="7"/>
  <c r="C163" i="7"/>
  <c r="C162" i="7"/>
  <c r="C161" i="7"/>
  <c r="C160" i="7"/>
  <c r="C159" i="7"/>
  <c r="C158" i="7"/>
  <c r="C157" i="7"/>
  <c r="C154" i="7"/>
  <c r="C153" i="7"/>
  <c r="C152" i="7"/>
  <c r="C151" i="7"/>
  <c r="C150" i="7"/>
  <c r="C149" i="7"/>
  <c r="C148" i="7"/>
  <c r="C147" i="7"/>
  <c r="C146" i="7"/>
  <c r="C145" i="7"/>
  <c r="C144" i="7"/>
  <c r="C143" i="7"/>
  <c r="C142" i="7"/>
  <c r="C141" i="7"/>
  <c r="C140" i="7"/>
  <c r="C139" i="7"/>
  <c r="C138" i="7"/>
  <c r="C137" i="7"/>
  <c r="C136" i="7"/>
  <c r="C135" i="7"/>
  <c r="C133" i="7"/>
  <c r="C131" i="7"/>
  <c r="C129" i="7"/>
  <c r="C128" i="7"/>
  <c r="C127" i="7"/>
  <c r="C126" i="7"/>
  <c r="C125" i="7"/>
  <c r="C124" i="7"/>
  <c r="C123" i="7"/>
  <c r="C121" i="7"/>
  <c r="C120" i="7"/>
  <c r="C119" i="7"/>
  <c r="C118" i="7"/>
  <c r="C117" i="7"/>
  <c r="C116" i="7"/>
  <c r="C115" i="7"/>
  <c r="C114" i="7"/>
  <c r="C113" i="7"/>
  <c r="C112" i="7"/>
  <c r="C111" i="7"/>
  <c r="C110" i="7"/>
  <c r="C109" i="7"/>
  <c r="C106" i="7"/>
  <c r="C105" i="7"/>
  <c r="C104" i="7"/>
  <c r="C103" i="7"/>
  <c r="C102" i="7"/>
  <c r="C100" i="7"/>
  <c r="C99" i="7"/>
  <c r="C98" i="7"/>
  <c r="C97" i="7"/>
  <c r="C96" i="7"/>
  <c r="C95" i="7"/>
  <c r="C94" i="7"/>
  <c r="C93" i="7"/>
  <c r="C91" i="7"/>
  <c r="C90" i="7"/>
  <c r="C89" i="7"/>
  <c r="C88" i="7"/>
  <c r="C87" i="7"/>
  <c r="C85" i="7"/>
  <c r="C84" i="7"/>
  <c r="C83" i="7"/>
  <c r="C82" i="7"/>
  <c r="C81" i="7"/>
  <c r="C80" i="7"/>
  <c r="C77" i="7"/>
  <c r="C76" i="7"/>
  <c r="C75" i="7"/>
  <c r="C74" i="7"/>
  <c r="C71" i="7"/>
  <c r="C70" i="7"/>
  <c r="C69" i="7"/>
  <c r="C67" i="7"/>
  <c r="C66" i="7"/>
  <c r="C65" i="7"/>
  <c r="C64" i="7"/>
  <c r="C61" i="7"/>
  <c r="C60" i="7"/>
  <c r="C59" i="7"/>
  <c r="C58" i="7"/>
  <c r="C57" i="7"/>
  <c r="C56" i="7"/>
  <c r="C55" i="7"/>
  <c r="C54" i="7"/>
  <c r="C48" i="7"/>
  <c r="C47" i="7"/>
  <c r="C46" i="7"/>
  <c r="C45" i="7"/>
  <c r="C44" i="7"/>
  <c r="C43" i="7"/>
  <c r="C41" i="7"/>
  <c r="C40" i="7"/>
  <c r="C39" i="7"/>
  <c r="C29" i="7"/>
  <c r="C28" i="7"/>
  <c r="C27" i="7"/>
  <c r="C26" i="7"/>
  <c r="C14" i="7"/>
  <c r="C13" i="7"/>
  <c r="C12" i="7"/>
  <c r="C11" i="7"/>
  <c r="C10" i="7"/>
  <c r="C9" i="7"/>
  <c r="C8" i="7"/>
  <c r="C7" i="7"/>
  <c r="C6" i="7"/>
  <c r="E5" i="8" l="1"/>
  <c r="E6" i="8"/>
  <c r="E7" i="8"/>
  <c r="E8" i="8"/>
  <c r="E9" i="8"/>
  <c r="E67" i="8"/>
  <c r="B69" i="8"/>
  <c r="E231" i="8"/>
  <c r="B233" i="8" s="1"/>
  <c r="E46" i="8"/>
  <c r="B48" i="8" s="1"/>
  <c r="E88" i="8"/>
  <c r="B90" i="8" s="1"/>
  <c r="E120" i="8"/>
  <c r="B122" i="8" s="1"/>
  <c r="E132" i="8"/>
  <c r="B134" i="8" s="1"/>
  <c r="E161" i="8"/>
  <c r="B163" i="8" s="1"/>
  <c r="E179" i="8"/>
  <c r="B181" i="8" s="1"/>
  <c r="E190" i="8"/>
  <c r="B192" i="8" s="1"/>
  <c r="E208" i="8"/>
  <c r="B217" i="8" s="1"/>
  <c r="E222" i="8"/>
  <c r="B224" i="8" s="1"/>
  <c r="K1" i="8" l="1"/>
  <c r="B11" i="8"/>
</calcChain>
</file>

<file path=xl/sharedStrings.xml><?xml version="1.0" encoding="utf-8"?>
<sst xmlns="http://schemas.openxmlformats.org/spreadsheetml/2006/main" count="966" uniqueCount="434">
  <si>
    <t>Item</t>
  </si>
  <si>
    <t>Dagger</t>
  </si>
  <si>
    <t>Mage Masher</t>
  </si>
  <si>
    <t>Mythril Dagger</t>
  </si>
  <si>
    <t>Cost</t>
  </si>
  <si>
    <t>Total</t>
  </si>
  <si>
    <t>Butterfly Sword</t>
  </si>
  <si>
    <t>The Ogre</t>
  </si>
  <si>
    <t>Gladius</t>
  </si>
  <si>
    <t>Exploda</t>
  </si>
  <si>
    <t>Rune Tooth</t>
  </si>
  <si>
    <t>Zorlin Shape</t>
  </si>
  <si>
    <t>Angel Bless</t>
  </si>
  <si>
    <t>Sargatanas</t>
  </si>
  <si>
    <t>Masamune</t>
  </si>
  <si>
    <t>Orichalcon</t>
  </si>
  <si>
    <t>The Tower</t>
  </si>
  <si>
    <t>Ultima Weapon</t>
  </si>
  <si>
    <t>Mage Staff</t>
  </si>
  <si>
    <t>Ice Staff</t>
  </si>
  <si>
    <t>Lightning Staff</t>
  </si>
  <si>
    <t>Flame Staff</t>
  </si>
  <si>
    <t>Oak Staff</t>
  </si>
  <si>
    <t>Cypress Pile</t>
  </si>
  <si>
    <t>Octagon Rod</t>
  </si>
  <si>
    <t>High Mage Staff</t>
  </si>
  <si>
    <t>Mace of Zeus</t>
  </si>
  <si>
    <t>Broadsword</t>
  </si>
  <si>
    <t>Iron Sword</t>
  </si>
  <si>
    <t>Mythril Sword</t>
  </si>
  <si>
    <t>Blood Sword</t>
  </si>
  <si>
    <t>Ice Brand</t>
  </si>
  <si>
    <t>Coral Sword</t>
  </si>
  <si>
    <t>Diamond Sword</t>
  </si>
  <si>
    <t>Flame Saber</t>
  </si>
  <si>
    <t>Rune Blade</t>
  </si>
  <si>
    <t>Defender</t>
  </si>
  <si>
    <t>Ultima Sword</t>
  </si>
  <si>
    <t>Excalibur</t>
  </si>
  <si>
    <t>Ragnarok</t>
  </si>
  <si>
    <t>Excalibur II</t>
  </si>
  <si>
    <t>Save the Queen</t>
  </si>
  <si>
    <t>Javelin</t>
  </si>
  <si>
    <t>Mythril Spear</t>
  </si>
  <si>
    <t>Partisan</t>
  </si>
  <si>
    <t>Ice Lance</t>
  </si>
  <si>
    <t>Trident</t>
  </si>
  <si>
    <t>Heavy Lance</t>
  </si>
  <si>
    <t>Obelisk</t>
  </si>
  <si>
    <t>Holy Spear</t>
  </si>
  <si>
    <t>Kain's Lance</t>
  </si>
  <si>
    <t>Dragon's Hair</t>
  </si>
  <si>
    <t>Cat's Claws</t>
  </si>
  <si>
    <t>Poison Knuckles</t>
  </si>
  <si>
    <t>Mythril Claws</t>
  </si>
  <si>
    <t>Scissor Fangs</t>
  </si>
  <si>
    <t>Dragon's Claws</t>
  </si>
  <si>
    <t>Tiger Fangs</t>
  </si>
  <si>
    <t>Avenger</t>
  </si>
  <si>
    <t>Kaiser Knuckles</t>
  </si>
  <si>
    <t>Duel Claws</t>
  </si>
  <si>
    <t>Rune Claws</t>
  </si>
  <si>
    <t>Pinwheel</t>
  </si>
  <si>
    <t>Rising Sun</t>
  </si>
  <si>
    <t>Wing Edge</t>
  </si>
  <si>
    <t>Fork</t>
  </si>
  <si>
    <t>Needle Fork</t>
  </si>
  <si>
    <t>Mythril Fork</t>
  </si>
  <si>
    <t>Silver Fork</t>
  </si>
  <si>
    <t>Bistro Fork</t>
  </si>
  <si>
    <t>Gastro Fork</t>
  </si>
  <si>
    <t>Garnet</t>
  </si>
  <si>
    <t>Rod</t>
  </si>
  <si>
    <t>Mythril Rod</t>
  </si>
  <si>
    <t>Stardust Rod</t>
  </si>
  <si>
    <t>Healing Rod</t>
  </si>
  <si>
    <t>Asura's Rod</t>
  </si>
  <si>
    <t>Wizard Rod</t>
  </si>
  <si>
    <t>Whale Whisker</t>
  </si>
  <si>
    <t>Golem's Flute</t>
  </si>
  <si>
    <t>Lamia's Flute</t>
  </si>
  <si>
    <t>Fairy Flute</t>
  </si>
  <si>
    <t>Hamelin</t>
  </si>
  <si>
    <t>Siren's Flute</t>
  </si>
  <si>
    <t>Angel's Flute</t>
  </si>
  <si>
    <t>Air Racket</t>
  </si>
  <si>
    <t>Multina Racket</t>
  </si>
  <si>
    <t>Magic Racket</t>
  </si>
  <si>
    <t>Mythril Racket</t>
  </si>
  <si>
    <t>Priest's Racket</t>
  </si>
  <si>
    <t>Tiger Racket</t>
  </si>
  <si>
    <t>Adaman Hat</t>
  </si>
  <si>
    <t>Bandana</t>
  </si>
  <si>
    <t>Black Hood</t>
  </si>
  <si>
    <t>Circlet</t>
  </si>
  <si>
    <t>Coronet</t>
  </si>
  <si>
    <t>Dark Hat</t>
  </si>
  <si>
    <t>Feather Hat</t>
  </si>
  <si>
    <t>Flash Hat</t>
  </si>
  <si>
    <t>Golden Hairpin</t>
  </si>
  <si>
    <t>Golden Skullcap</t>
  </si>
  <si>
    <t>Green Beret</t>
  </si>
  <si>
    <t>Headgear</t>
  </si>
  <si>
    <t>Holy Miter</t>
  </si>
  <si>
    <t>Lamia's Tiara</t>
  </si>
  <si>
    <t>Leather Hat</t>
  </si>
  <si>
    <t>Mage's Hat</t>
  </si>
  <si>
    <t>Mantra Band</t>
  </si>
  <si>
    <t>Red Hat</t>
  </si>
  <si>
    <t>Ritual Hat</t>
  </si>
  <si>
    <t>Steepled Hat</t>
  </si>
  <si>
    <t>Straw Hat</t>
  </si>
  <si>
    <t>Thief Hat</t>
  </si>
  <si>
    <t>Twist Headband</t>
  </si>
  <si>
    <t>Barbut</t>
  </si>
  <si>
    <t>Bronze Helm</t>
  </si>
  <si>
    <t>Cross Helm</t>
  </si>
  <si>
    <t>Diamond Helm</t>
  </si>
  <si>
    <t>Gold Helm</t>
  </si>
  <si>
    <t>Grand Helm</t>
  </si>
  <si>
    <t>Iron Helm</t>
  </si>
  <si>
    <t>Kaiser Helm</t>
  </si>
  <si>
    <t>Mythril Helm</t>
  </si>
  <si>
    <t>Platinum Helm</t>
  </si>
  <si>
    <t>Rubber Helm</t>
  </si>
  <si>
    <t>Bone Wrist</t>
  </si>
  <si>
    <t>Bracer</t>
  </si>
  <si>
    <t>Chimera Armlet</t>
  </si>
  <si>
    <t>Dragon Wrist</t>
  </si>
  <si>
    <t>Glass Armlet</t>
  </si>
  <si>
    <t>Jade Armlet</t>
  </si>
  <si>
    <t>Leather Wrist</t>
  </si>
  <si>
    <t>Magic Armlet</t>
  </si>
  <si>
    <t>Mythril Armlet</t>
  </si>
  <si>
    <t>N-Kai Armlet</t>
  </si>
  <si>
    <t>Pearl Armlet</t>
  </si>
  <si>
    <t>Power Wrist</t>
  </si>
  <si>
    <t>Thief Gloves</t>
  </si>
  <si>
    <t>Wrist</t>
  </si>
  <si>
    <t>Gauntlets</t>
  </si>
  <si>
    <t>Bronze Gloves</t>
  </si>
  <si>
    <t>Diamond Gloves</t>
  </si>
  <si>
    <t>Genji Gloves</t>
  </si>
  <si>
    <t>Mythril Gloves</t>
  </si>
  <si>
    <t>Silver Gloves</t>
  </si>
  <si>
    <t>Thunder Gloves</t>
  </si>
  <si>
    <t>Adaman Vest</t>
  </si>
  <si>
    <t>Brave Suit</t>
  </si>
  <si>
    <t>Brigandine</t>
  </si>
  <si>
    <t>Bronze Vest</t>
  </si>
  <si>
    <t>Chain Plate</t>
  </si>
  <si>
    <t>Dark Gear</t>
  </si>
  <si>
    <t>Demon's Vest</t>
  </si>
  <si>
    <t>Gaia Gear</t>
  </si>
  <si>
    <t>Judo Uniform</t>
  </si>
  <si>
    <t>Leather Plate</t>
  </si>
  <si>
    <t>Leather Shirt</t>
  </si>
  <si>
    <t>Magician Robe</t>
  </si>
  <si>
    <t>Magician Cloak</t>
  </si>
  <si>
    <t>Minerva's Plate</t>
  </si>
  <si>
    <t>Mythril Vest</t>
  </si>
  <si>
    <t>Ninja Gear</t>
  </si>
  <si>
    <t>Power Vest</t>
  </si>
  <si>
    <t>Rubber Suit</t>
  </si>
  <si>
    <t>Silk Shirt</t>
  </si>
  <si>
    <t>Survival Vest</t>
  </si>
  <si>
    <t>Black Robe</t>
  </si>
  <si>
    <t>Cotton Robe</t>
  </si>
  <si>
    <t>Glutton's Robe</t>
  </si>
  <si>
    <t>Light Robe</t>
  </si>
  <si>
    <t>Robe of Lords</t>
  </si>
  <si>
    <t>Silk Robe</t>
  </si>
  <si>
    <t>White Robe</t>
  </si>
  <si>
    <t>Bronze Armor</t>
  </si>
  <si>
    <t>Carabini Mail</t>
  </si>
  <si>
    <t>Chain Mail</t>
  </si>
  <si>
    <t>Demon's Mail</t>
  </si>
  <si>
    <t>Diamond Armor</t>
  </si>
  <si>
    <t>Genji Armor</t>
  </si>
  <si>
    <t>Gold Armor</t>
  </si>
  <si>
    <t>Grand Armor</t>
  </si>
  <si>
    <t>Linen Cuirass</t>
  </si>
  <si>
    <t>Maximillian</t>
  </si>
  <si>
    <t>Mythril Armor</t>
  </si>
  <si>
    <t>Plate Mail</t>
  </si>
  <si>
    <t>Platina Armor</t>
  </si>
  <si>
    <t>Shield Armor</t>
  </si>
  <si>
    <t>Tin Armor</t>
  </si>
  <si>
    <t>Amethyst</t>
  </si>
  <si>
    <t>Ancient Aroma</t>
  </si>
  <si>
    <t>Angel Earrings</t>
  </si>
  <si>
    <t>Anklet</t>
  </si>
  <si>
    <t>Aquamarine</t>
  </si>
  <si>
    <t>Barette</t>
  </si>
  <si>
    <t>Battle Boots</t>
  </si>
  <si>
    <t>Black Belt</t>
  </si>
  <si>
    <t>Cachusha</t>
  </si>
  <si>
    <t>Coral Ring</t>
  </si>
  <si>
    <t>Dark Matter</t>
  </si>
  <si>
    <t>Desert Boots</t>
  </si>
  <si>
    <t>Diamond</t>
  </si>
  <si>
    <t>Emerald</t>
  </si>
  <si>
    <t>Extension</t>
  </si>
  <si>
    <t>Fairy Earrings</t>
  </si>
  <si>
    <t>Feather Boots</t>
  </si>
  <si>
    <t>Germinas Boots</t>
  </si>
  <si>
    <t>Glass Buckle</t>
  </si>
  <si>
    <t>Gold Choker</t>
  </si>
  <si>
    <t>Madain's Ring</t>
  </si>
  <si>
    <t>Magician Shoes</t>
  </si>
  <si>
    <t>Moonstone</t>
  </si>
  <si>
    <t>Opal</t>
  </si>
  <si>
    <t>Pearl Rouge</t>
  </si>
  <si>
    <t>Peridot</t>
  </si>
  <si>
    <t>Phoenix Pinion</t>
  </si>
  <si>
    <t>Power Belt</t>
  </si>
  <si>
    <t>Promist Ring</t>
  </si>
  <si>
    <t>Protect Ring</t>
  </si>
  <si>
    <t>Pumice</t>
  </si>
  <si>
    <t>Pumice Piece</t>
  </si>
  <si>
    <t>Rebirth Ring</t>
  </si>
  <si>
    <t>Reflect Ring</t>
  </si>
  <si>
    <t>Ribbon</t>
  </si>
  <si>
    <t>Rosetta Ring</t>
  </si>
  <si>
    <t>Ruby</t>
  </si>
  <si>
    <t>Running Shoes</t>
  </si>
  <si>
    <t>Sandals</t>
  </si>
  <si>
    <t>Sapphire</t>
  </si>
  <si>
    <t>Topaz</t>
  </si>
  <si>
    <t>Yellow Scarf</t>
  </si>
  <si>
    <t>Antidote</t>
  </si>
  <si>
    <t>Annoyntment</t>
  </si>
  <si>
    <t>Dead Pepper</t>
  </si>
  <si>
    <t>Elixir</t>
  </si>
  <si>
    <t>Eye Drops</t>
  </si>
  <si>
    <t>Hi-Potion</t>
  </si>
  <si>
    <t>Ore</t>
  </si>
  <si>
    <t>Phoenix Down</t>
  </si>
  <si>
    <t>Potion</t>
  </si>
  <si>
    <t>Remedy</t>
  </si>
  <si>
    <t>Soft</t>
  </si>
  <si>
    <t>Tent</t>
  </si>
  <si>
    <t>Gysahl Greens</t>
  </si>
  <si>
    <t>Specified Amount In File</t>
  </si>
  <si>
    <t>Your Desired Amount</t>
  </si>
  <si>
    <t>Echo Screen</t>
  </si>
  <si>
    <t>Ether</t>
  </si>
  <si>
    <t>Sell</t>
  </si>
  <si>
    <t>Magic Tag</t>
  </si>
  <si>
    <t>Genji Helmet</t>
  </si>
  <si>
    <t>Maiden Prayer</t>
  </si>
  <si>
    <t>Holy Lance</t>
  </si>
  <si>
    <t>Vaccine</t>
  </si>
  <si>
    <t>Hammer</t>
  </si>
  <si>
    <t>Venetia Shield</t>
  </si>
  <si>
    <t>Aloha T-shirt</t>
  </si>
  <si>
    <t>Lapis Lazuli</t>
  </si>
  <si>
    <t>Buy</t>
  </si>
  <si>
    <t>Burmecia</t>
  </si>
  <si>
    <t>TOTAL:</t>
  </si>
  <si>
    <t>Alexandria</t>
  </si>
  <si>
    <t>Dragon Mail</t>
  </si>
  <si>
    <t>Amount for 'Perfect Amount'</t>
  </si>
  <si>
    <t>Egotist's Armlet</t>
  </si>
  <si>
    <t>Defense Gloves</t>
  </si>
  <si>
    <t>Aegis Gloves</t>
  </si>
  <si>
    <t>-</t>
  </si>
  <si>
    <t>Dali</t>
  </si>
  <si>
    <t>Ipsen's Castle</t>
  </si>
  <si>
    <t>Daguerreo</t>
  </si>
  <si>
    <t>Carabini Armor</t>
  </si>
  <si>
    <t>Synth</t>
  </si>
  <si>
    <t>Black Mage Village</t>
  </si>
  <si>
    <t>Memoria</t>
  </si>
  <si>
    <t>***Synth Anklet before Reflect Ring***</t>
  </si>
  <si>
    <t>***Synth Rosetta Ring before Circlet***</t>
  </si>
  <si>
    <t>Amount of Gil needed:</t>
  </si>
  <si>
    <t>Gil</t>
  </si>
  <si>
    <t>Instructions</t>
  </si>
  <si>
    <t xml:space="preserve">     Hello everyone and thank for choosing this program to keep track of your perfect file items in Final Fantasy IX! ;) First off, I want to congratulate you on</t>
  </si>
  <si>
    <t>completing Atomos199's Excalibur II Perfect Game challenge (if you have). Second, I hope that this program will be helpful and useful to you and your friends</t>
  </si>
  <si>
    <t xml:space="preserve">who also have completed this challenge. And third, it is an honor to help everyone who really wants to do this on the first try and not screw up and backtrack </t>
  </si>
  <si>
    <t xml:space="preserve">          1. Click on the "Perfect Amounts" sheet below right next to the "Instructions" sheet. This will take you to every item in the game in their Auto position.</t>
  </si>
  <si>
    <t>What you will need to do is save first. Then, unequip every member and equip their weapon with something you have more than one of, like their missable</t>
  </si>
  <si>
    <t>weapons bought during the run. Then, you will need to Auto your inventory by opening the menu, going to Item, press O, go to Arrange, then finally Auto.</t>
  </si>
  <si>
    <t>have the Gil necessary. And that's basically it. You can Buy and Synth everything except the gems cause you will need to accumilate Ores like crazy until you</t>
  </si>
  <si>
    <t>Missable</t>
  </si>
  <si>
    <t>have the amount of each. I didn't include the costs for those cause I wanted to focus on the items, but I'm sure it will be easy enough to collect the gems and</t>
  </si>
  <si>
    <t>Ores needed to be obtained. And you won't be using the "Perfect Amounts" Sheet again, unless you change your mind on the Specified Amount. You would</t>
  </si>
  <si>
    <t>Octogon Rod</t>
  </si>
  <si>
    <t>Amount Purchased</t>
  </si>
  <si>
    <t>number of that item in the "Amount Purchased" cell of that item so that you will not forget. It will recalulate the Gil and items to buy, just in case you didn't</t>
  </si>
  <si>
    <t>You will need to follow the first place that is displayed, as this is the fastest route to getting your items. After you buy or sell the amount, type in your purchase</t>
  </si>
  <si>
    <t>then have to delete all the cells by going through each one. Don't worry; the main calculation cells are protected and cannot be changed. On the silver screen,</t>
  </si>
  <si>
    <t xml:space="preserve">          5. If you are having trouble seeing the font, you can zoom in by clicking on the + icon on the bottom-right corner. You can also make it smaller if needed.</t>
  </si>
  <si>
    <t xml:space="preserve">          2. The items in the "Perfect Amounts" are in their Auto order, which is why I asked you to Auto your items. Click on the box "Your Desired Amount" </t>
  </si>
  <si>
    <t>on Potions and type in the amount you would like in your final inventory. Then Press Enter for the next item and so on. By default, the perfect amount is</t>
  </si>
  <si>
    <t xml:space="preserve">already typed in for you, but you can change this number if desired. After that is done, go through all of your items and type in the amount of the item in </t>
  </si>
  <si>
    <t xml:space="preserve">          3. This is the sheet for all those people (like me) who want to use this now to get an idea of what is coming up. This sheet contains all the future treasures</t>
  </si>
  <si>
    <t xml:space="preserve">that you will get after getting that awesome Excalibur II. It contains how many there are and where they can be found. They are in Auto order, which really </t>
  </si>
  <si>
    <t>doesn't matter. Anyway, type in the amount that you will get from the areas you can get them. For example, the Robe of Lords can be gotten in 5 ways</t>
  </si>
  <si>
    <t>without Synthesizing: Steal from Ozma, Steal from Hades, Steal from Quale, a Stellazzio prize, and from trading 10,000 H&amp;C points. If you plan to get the first</t>
  </si>
  <si>
    <t>Location(s)</t>
  </si>
  <si>
    <t>Amount Gettting</t>
  </si>
  <si>
    <t>Magus Hat</t>
  </si>
  <si>
    <t>Alexandria, Quan's Dwelling x2, Treno,</t>
  </si>
  <si>
    <t>Bird's Eye Lagoon x3, Forgotten Lagoon x5,</t>
  </si>
  <si>
    <t>Abandoned Lagoon x4, Forbidden Forest x7,</t>
  </si>
  <si>
    <t xml:space="preserve">Dive Spot north of Conde Petie x9, </t>
  </si>
  <si>
    <t>Forgotten Plains x5</t>
  </si>
  <si>
    <t>Steal from Deathguise, Forbidden Forest x2,</t>
  </si>
  <si>
    <t>Alexandria, Lindblum, Daguerreo x2,</t>
  </si>
  <si>
    <t>Steal from Ozma, Steal from Quale,</t>
  </si>
  <si>
    <t>Burmecia, Abandoned Beach x9, Sea at Dusk x15,</t>
  </si>
  <si>
    <t>Buy in Treno Auction, Steal from Ozma,</t>
  </si>
  <si>
    <t>Dropped from Ozma</t>
  </si>
  <si>
    <t>*can also steal and win from various enemies*</t>
  </si>
  <si>
    <t>Uncultivated Land x3, Forbidden Forest x10, Trade</t>
  </si>
  <si>
    <t>3500 H&amp;C points</t>
  </si>
  <si>
    <t>Stellazzio prize</t>
  </si>
  <si>
    <t>Outer Island 2</t>
  </si>
  <si>
    <t>ipsen's Castle</t>
  </si>
  <si>
    <t>Forgotten Lagoon</t>
  </si>
  <si>
    <t>*disregard if gotten during run*</t>
  </si>
  <si>
    <t>Steal from Deathguise</t>
  </si>
  <si>
    <t>Dive Spot below Quan's Dwelling</t>
  </si>
  <si>
    <t>Dusk Plains</t>
  </si>
  <si>
    <t>Ocean</t>
  </si>
  <si>
    <t>Forbidden Forest</t>
  </si>
  <si>
    <t>Catch 23 Frogs</t>
  </si>
  <si>
    <t>Catch 33 Frogs</t>
  </si>
  <si>
    <t>Defeat Quale</t>
  </si>
  <si>
    <t>Dive Spot between Mist and Outer Continent x8</t>
  </si>
  <si>
    <t>Abandoned Lagoon</t>
  </si>
  <si>
    <t>Uncultivated Land</t>
  </si>
  <si>
    <t>Buy in Treno Auction</t>
  </si>
  <si>
    <t>Lindblum</t>
  </si>
  <si>
    <t>Gizamaluke's Grotto</t>
  </si>
  <si>
    <t>Abandoned Beach</t>
  </si>
  <si>
    <t>Dive Spot south of Forgotten Continent</t>
  </si>
  <si>
    <t>Mountain Crack northwest of Oeilvert</t>
  </si>
  <si>
    <t>Fairy Island</t>
  </si>
  <si>
    <t>Mountain Crack northeast of Oeilvert</t>
  </si>
  <si>
    <t>Mist and Outer Continent x7</t>
  </si>
  <si>
    <t>Madain Sari</t>
  </si>
  <si>
    <t>Faraway Lagoon</t>
  </si>
  <si>
    <t>Steal from Quale</t>
  </si>
  <si>
    <t>Catch 9 Frogs</t>
  </si>
  <si>
    <t>Bird's Eye Lagoon</t>
  </si>
  <si>
    <t>Sea at Dusk</t>
  </si>
  <si>
    <t>Dive Spot south of forgotten Continent</t>
  </si>
  <si>
    <t>Forgotten Plains</t>
  </si>
  <si>
    <t>Outer Island</t>
  </si>
  <si>
    <t>Steal from Hades, Catch 45 frogs</t>
  </si>
  <si>
    <t>Quan's Dwelling, Steal from Hades</t>
  </si>
  <si>
    <t>*disregard if not obtaining this way*</t>
  </si>
  <si>
    <t>Dive Spot north of Conde Petie x7, Stellazzio prize</t>
  </si>
  <si>
    <t>Stellazzio prize, Steal from Hades, Steal from</t>
  </si>
  <si>
    <t>Stellazzio prize, Steal from Deathguise</t>
  </si>
  <si>
    <t>Mountain Crack on Lost Continent, Dropped by</t>
  </si>
  <si>
    <t>Friendly Yan, Stellazzio prize</t>
  </si>
  <si>
    <t>Steal from Hades</t>
  </si>
  <si>
    <t xml:space="preserve">Forgotten Island, Steal from Trance Kuja (don't </t>
  </si>
  <si>
    <t>to show it before Necron)</t>
  </si>
  <si>
    <t>count this in your final inventory unless you want</t>
  </si>
  <si>
    <t>Revive Mognet Central, Trade 8500 H&amp;C points,</t>
  </si>
  <si>
    <t xml:space="preserve">Answer 13+ questions from Ragtime Mouse </t>
  </si>
  <si>
    <t xml:space="preserve">correctly, Mountain Crack in Lost Continent </t>
  </si>
  <si>
    <t>*get rest from playing Chocobo Hot and Cold*</t>
  </si>
  <si>
    <t>Outer Island 2, Steal from Ozma</t>
  </si>
  <si>
    <t>Buy from Treno Auction</t>
  </si>
  <si>
    <t>Defeat Behemoth in Treno, Outer Island 2</t>
  </si>
  <si>
    <t>Stiltzkin's deal in Alexandria, Buy from Treno</t>
  </si>
  <si>
    <t xml:space="preserve">Ipsen's Castle, Mountain Crack northwest of </t>
  </si>
  <si>
    <t>Oeilvert</t>
  </si>
  <si>
    <t>*disregard Mountain Crack if gotten during run*</t>
  </si>
  <si>
    <t>Randon Kupo Nut prize (up to 4), Stellazzio prize,</t>
  </si>
  <si>
    <t>Dive Spot below Quan's Dwelling x9, Outer Island</t>
  </si>
  <si>
    <t>x16</t>
  </si>
  <si>
    <t>Alexandria, Forgotten Island x13, Outer Island x21</t>
  </si>
  <si>
    <t>Dive Spot where Shimmering Island was x10</t>
  </si>
  <si>
    <t>Dive Spot where Shimmering Island was</t>
  </si>
  <si>
    <t>Dropped by Friendly Garuda, Sea at Dusk, Give to</t>
  </si>
  <si>
    <t>Friendly Yan -1</t>
  </si>
  <si>
    <t>Feather Circle -1</t>
  </si>
  <si>
    <t>Stiltzkin's deal in Alexandria, Give to Friendly</t>
  </si>
  <si>
    <t>Alexandria, Abandoned Beach x12, Cold Lagoon x11,</t>
  </si>
  <si>
    <t>Stiltzkin's deal in Alexandria</t>
  </si>
  <si>
    <t>Alexandria x2, Cold Lagoon x15, Outer Island x11</t>
  </si>
  <si>
    <t>the rest after activating the dragon statue switch on the 2nd floor*</t>
  </si>
  <si>
    <t>*trade 4 Ores for 1 Aquamarine in Daquerreo on 1st floor for</t>
  </si>
  <si>
    <t>Alexandria, Cold Lagoon x9, Forgotten Plains x14</t>
  </si>
  <si>
    <t>*disregard Chocographs if gotten on Path C un-flagged*</t>
  </si>
  <si>
    <t xml:space="preserve">Alexandria, Cold Lagoon x19, Dive Spot below Quan's </t>
  </si>
  <si>
    <t>Dwelling x15</t>
  </si>
  <si>
    <t>Mountain Crack in Lost Continent x41</t>
  </si>
  <si>
    <t>Ocean x27, Dusk Plains x14, Forgotten Plains x17</t>
  </si>
  <si>
    <t>*disregard Dusk Plains if gotten during run*</t>
  </si>
  <si>
    <t>4, then type 4 in the "Amount Getting" cell for the Robe of Lords. Do the same with all other items. An easier way is to type in the = sign, followed by the</t>
  </si>
  <si>
    <t>first amount in the list then a + sign and continuing down until you're done. Then press Enter and your total will be there. For example, the Topaz: type in =1+</t>
  </si>
  <si>
    <t>19+15, then press Enter. That will give you 35. Do this for all the treasures you plan to get in the Location(s) cell. These will be counted as if they are in your</t>
  </si>
  <si>
    <t>inventory so that the Gil amounted needed will be calculated correctly, or in case you might forget a treasure and you spent too much time grinding Gil.</t>
  </si>
  <si>
    <t>Now click on the "Buying and Selling" Sheet.</t>
  </si>
  <si>
    <t xml:space="preserve">          4. On the "Buying and Selling" Sheet is where the magic really happens! Every item is calculated in order  to know what to buy and sell in what amounts.</t>
  </si>
  <si>
    <t>Ozma, Steal from Quale, Trade 10,000 H&amp;C points x∞</t>
  </si>
  <si>
    <t>Random dig in Chocobo's Lagoon x∞</t>
  </si>
  <si>
    <t>Ipsen's Castle, Random dig in Chocobo's Lagoon x∞</t>
  </si>
  <si>
    <t>Auction, Forgotten Island</t>
  </si>
  <si>
    <t>*steal the rest from Yans*</t>
  </si>
  <si>
    <t>*use Jewell spell to accumulate more*</t>
  </si>
  <si>
    <t>*Steal the rest from Crystal Tiamat (16/256) &amp; (1/256)*</t>
  </si>
  <si>
    <t>the "Specified Amount in File" cells for that item until finished. Remember, these are in Auto format for your convenience. Once finished, go to the "Future</t>
  </si>
  <si>
    <t>Treasures" Sheet.</t>
  </si>
  <si>
    <t xml:space="preserve">First Kupo Nut prize (Disc 4), Dive Spot between </t>
  </si>
  <si>
    <t>Between Mountains x2</t>
  </si>
  <si>
    <t>Jabberwock -1</t>
  </si>
  <si>
    <t>Dropped by Friendly Nymph, Give to Friendly</t>
  </si>
  <si>
    <t>*disregard Jabberwock if given during run*</t>
  </si>
  <si>
    <t>Get</t>
  </si>
  <si>
    <t xml:space="preserve">          6. And for all those geeks out there, I have included a "Math Behind This" Sheet to show you how all this came along.</t>
  </si>
  <si>
    <t>*Be sure to sell necessary stuff before working on the Gil needed*</t>
  </si>
  <si>
    <t xml:space="preserve"> </t>
  </si>
  <si>
    <t>***Also buy in Daquerro***</t>
  </si>
  <si>
    <t>Missable List</t>
  </si>
  <si>
    <t>*disregard auction if gotten during run*</t>
  </si>
  <si>
    <t>be sure to obtain the objects before starting. And that is basically it! Enjoy this and I hope it helps all of you out. :) And there is also the missable list to show</t>
  </si>
  <si>
    <t>what you have missed or what you should obtain. Just follow Atomos199's guide and you shoudn't miss anything.</t>
  </si>
  <si>
    <t>*disregard Forgotten Island if gotten during run*</t>
  </si>
  <si>
    <t>Chocobo's Forest</t>
  </si>
  <si>
    <t>Amount Gotten</t>
  </si>
  <si>
    <t>Math Behind This</t>
  </si>
  <si>
    <t>**Have the following before starting:**</t>
  </si>
  <si>
    <t>so much. If anyone has ways to make this better, PLEASE let me know. The best way of contacting me would be GameFAQS. My username is IllusionGamer90,</t>
  </si>
  <si>
    <t>so you can send me a private message and let me know of anything to make this better. And now, here are the instructions: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</si>
</sst>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1" x14ac:knownFonts="1">
    <font>
      <sz val="11"/>
      <color theme="1"/>
      <name val="Calibri"/>
      <family val="2"/>
      <scheme val="minor"/>
    </font>
    <font>
      <b/>
      <sz val="11"/>
      <color theme="2"/>
      <name val="Calibri"/>
      <family val="2"/>
      <scheme val="minor"/>
    </font>
    <font>
      <sz val="11"/>
      <color theme="2"/>
      <name val="Calibri"/>
      <family val="2"/>
      <scheme val="minor"/>
    </font>
    <font>
      <sz val="22"/>
      <color theme="2"/>
      <name val="Calibri"/>
      <family val="2"/>
      <scheme val="minor"/>
    </font>
    <font>
      <sz val="26"/>
      <color theme="2"/>
      <name val="Calibri"/>
      <family val="2"/>
      <scheme val="minor"/>
    </font>
    <font>
      <sz val="36"/>
      <color theme="1"/>
      <name val="Calibri"/>
      <family val="2"/>
      <scheme val="minor"/>
    </font>
    <font>
      <sz val="14"/>
      <color theme="1"/>
      <name val="Calibri"/>
      <family val="2"/>
      <scheme val="minor"/>
    </font>
    <font>
      <b/>
      <sz val="24"/>
      <color theme="2"/>
      <name val="Calibri"/>
      <family val="2"/>
      <scheme val="minor"/>
    </font>
    <font>
      <sz val="11"/>
      <color theme="1"/>
      <name val="Calibri"/>
      <family val="2"/>
      <scheme val="minor"/>
    </font>
    <font>
      <sz val="12"/>
      <color theme="2"/>
      <name val="Calibri"/>
      <family val="2"/>
      <scheme val="minor"/>
    </font>
    <font>
      <sz val="24"/>
      <color theme="0"/>
      <name val="Calibri"/>
      <family val="2"/>
      <scheme val="minor"/>
    </font>
  </fonts>
  <fills count="6">
    <fill>
      <patternFill patternType="none"/>
    </fill>
    <fill>
      <patternFill patternType="gray125"/>
    </fill>
    <fill>
      <patternFill patternType="solid">
        <fgColor rgb="FF0606E4"/>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8" fillId="0" borderId="0" applyFont="0" applyFill="0" applyBorder="0" applyAlignment="0" applyProtection="0"/>
  </cellStyleXfs>
  <cellXfs count="141">
    <xf numFmtId="0" fontId="0" fillId="0" borderId="0" xfId="0"/>
    <xf numFmtId="0" fontId="2" fillId="2" borderId="0" xfId="0" applyFont="1" applyFill="1"/>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1" fillId="2" borderId="1"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2" fillId="2" borderId="1" xfId="0" applyFont="1" applyFill="1" applyBorder="1" applyAlignment="1" applyProtection="1">
      <alignment horizontal="left" vertical="center"/>
      <protection hidden="1"/>
    </xf>
    <xf numFmtId="0" fontId="2" fillId="2" borderId="1"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locked="0"/>
    </xf>
    <xf numFmtId="0" fontId="2" fillId="2" borderId="1" xfId="0" applyFont="1" applyFill="1" applyBorder="1" applyAlignment="1" applyProtection="1">
      <alignment horizontal="center"/>
      <protection locked="0"/>
    </xf>
    <xf numFmtId="0" fontId="2" fillId="2" borderId="2" xfId="0" applyFont="1" applyFill="1" applyBorder="1" applyProtection="1">
      <protection hidden="1"/>
    </xf>
    <xf numFmtId="0" fontId="2" fillId="3" borderId="0" xfId="0" applyFont="1" applyFill="1" applyBorder="1" applyProtection="1">
      <protection hidden="1"/>
    </xf>
    <xf numFmtId="0" fontId="2" fillId="3" borderId="1" xfId="0" applyFont="1" applyFill="1" applyBorder="1" applyProtection="1">
      <protection hidden="1"/>
    </xf>
    <xf numFmtId="0" fontId="2" fillId="2" borderId="1" xfId="0" applyFont="1" applyFill="1" applyBorder="1" applyProtection="1">
      <protection hidden="1"/>
    </xf>
    <xf numFmtId="0" fontId="4" fillId="2" borderId="2" xfId="0" applyFont="1" applyFill="1" applyBorder="1" applyAlignment="1" applyProtection="1">
      <alignment horizontal="center"/>
      <protection hidden="1"/>
    </xf>
    <xf numFmtId="0" fontId="4" fillId="2" borderId="4" xfId="0" applyFont="1" applyFill="1" applyBorder="1" applyAlignment="1" applyProtection="1">
      <alignment horizontal="center"/>
      <protection hidden="1"/>
    </xf>
    <xf numFmtId="0" fontId="4" fillId="2" borderId="4" xfId="0" applyFont="1" applyFill="1" applyBorder="1" applyAlignment="1" applyProtection="1">
      <alignment horizontal="center" vertical="center"/>
      <protection hidden="1"/>
    </xf>
    <xf numFmtId="0" fontId="2" fillId="3" borderId="1" xfId="0" applyFont="1" applyFill="1" applyBorder="1" applyAlignment="1" applyProtection="1">
      <alignment vertical="center"/>
      <protection hidden="1"/>
    </xf>
    <xf numFmtId="0" fontId="2" fillId="3" borderId="0" xfId="0" applyFont="1" applyFill="1" applyBorder="1" applyAlignment="1" applyProtection="1">
      <alignment vertical="center"/>
      <protection hidden="1"/>
    </xf>
    <xf numFmtId="0" fontId="2" fillId="2" borderId="2" xfId="0" applyFont="1" applyFill="1" applyBorder="1" applyAlignment="1" applyProtection="1">
      <alignment horizontal="center" vertical="center"/>
      <protection hidden="1"/>
    </xf>
    <xf numFmtId="0" fontId="2" fillId="3" borderId="1" xfId="0" applyFont="1" applyFill="1" applyBorder="1" applyAlignment="1" applyProtection="1">
      <alignment horizontal="left" vertical="center"/>
      <protection hidden="1"/>
    </xf>
    <xf numFmtId="3" fontId="2" fillId="2" borderId="1" xfId="0" applyNumberFormat="1" applyFont="1" applyFill="1" applyBorder="1" applyProtection="1">
      <protection hidden="1"/>
    </xf>
    <xf numFmtId="0" fontId="2" fillId="3" borderId="1" xfId="0" applyFont="1" applyFill="1" applyBorder="1" applyAlignment="1" applyProtection="1">
      <alignment horizontal="left"/>
      <protection hidden="1"/>
    </xf>
    <xf numFmtId="0" fontId="2" fillId="2" borderId="1" xfId="0" applyFont="1" applyFill="1" applyBorder="1" applyAlignment="1" applyProtection="1">
      <alignment horizontal="left"/>
      <protection hidden="1"/>
    </xf>
    <xf numFmtId="3" fontId="2" fillId="2" borderId="1" xfId="0" applyNumberFormat="1" applyFont="1" applyFill="1" applyBorder="1" applyAlignment="1" applyProtection="1">
      <alignment horizontal="center"/>
      <protection hidden="1"/>
    </xf>
    <xf numFmtId="0" fontId="2" fillId="2" borderId="2" xfId="0" applyFont="1" applyFill="1" applyBorder="1" applyProtection="1">
      <protection locked="0"/>
    </xf>
    <xf numFmtId="0" fontId="2" fillId="2" borderId="2" xfId="0" applyFont="1" applyFill="1" applyBorder="1" applyAlignment="1" applyProtection="1">
      <alignment horizontal="center"/>
      <protection locked="0"/>
    </xf>
    <xf numFmtId="0" fontId="2" fillId="2" borderId="1" xfId="0" applyFont="1" applyFill="1" applyBorder="1" applyProtection="1">
      <protection locked="0"/>
    </xf>
    <xf numFmtId="0" fontId="2" fillId="3" borderId="1" xfId="0" applyFont="1" applyFill="1" applyBorder="1" applyAlignment="1" applyProtection="1">
      <alignment horizontal="center" vertical="center"/>
      <protection locked="0"/>
    </xf>
    <xf numFmtId="0" fontId="2" fillId="3" borderId="1" xfId="0" applyFont="1" applyFill="1" applyBorder="1" applyProtection="1">
      <protection locked="0"/>
    </xf>
    <xf numFmtId="0" fontId="2" fillId="3" borderId="0" xfId="0" applyFont="1" applyFill="1" applyBorder="1" applyAlignment="1" applyProtection="1">
      <alignment horizontal="center" vertical="center"/>
      <protection hidden="1"/>
    </xf>
    <xf numFmtId="0" fontId="1" fillId="2" borderId="0" xfId="0" applyFont="1" applyFill="1"/>
    <xf numFmtId="0" fontId="0" fillId="0" borderId="0" xfId="0" applyProtection="1">
      <protection hidden="1"/>
    </xf>
    <xf numFmtId="0" fontId="6" fillId="0" borderId="0" xfId="0" applyFont="1" applyAlignment="1" applyProtection="1">
      <alignment horizontal="left"/>
      <protection hidden="1"/>
    </xf>
    <xf numFmtId="0" fontId="2" fillId="2" borderId="0" xfId="0" applyFont="1" applyFill="1" applyBorder="1" applyAlignment="1" applyProtection="1">
      <alignment horizontal="center"/>
      <protection hidden="1"/>
    </xf>
    <xf numFmtId="0" fontId="2" fillId="2" borderId="0" xfId="0" applyFont="1" applyFill="1" applyBorder="1" applyAlignment="1" applyProtection="1">
      <protection hidden="1"/>
    </xf>
    <xf numFmtId="0" fontId="1" fillId="2" borderId="0" xfId="0" applyFont="1" applyFill="1" applyBorder="1" applyAlignment="1" applyProtection="1">
      <alignment horizontal="center"/>
      <protection hidden="1"/>
    </xf>
    <xf numFmtId="0" fontId="1" fillId="2" borderId="0" xfId="0" applyFont="1" applyFill="1" applyAlignment="1" applyProtection="1">
      <alignment horizontal="center"/>
      <protection hidden="1"/>
    </xf>
    <xf numFmtId="0" fontId="2" fillId="3" borderId="0" xfId="0" applyFont="1" applyFill="1" applyBorder="1" applyAlignment="1" applyProtection="1">
      <alignment horizontal="left"/>
      <protection hidden="1"/>
    </xf>
    <xf numFmtId="3" fontId="1" fillId="3" borderId="4" xfId="0" applyNumberFormat="1" applyFont="1" applyFill="1" applyBorder="1" applyAlignment="1" applyProtection="1">
      <protection hidden="1"/>
    </xf>
    <xf numFmtId="0" fontId="1" fillId="3" borderId="3" xfId="0" applyFont="1" applyFill="1" applyBorder="1" applyAlignment="1" applyProtection="1">
      <protection hidden="1"/>
    </xf>
    <xf numFmtId="0" fontId="0" fillId="0" borderId="0" xfId="0" applyAlignment="1" applyProtection="1">
      <alignment horizontal="left"/>
      <protection hidden="1"/>
    </xf>
    <xf numFmtId="0" fontId="0" fillId="0" borderId="0" xfId="0" applyAlignment="1" applyProtection="1">
      <alignment horizontal="center"/>
      <protection hidden="1"/>
    </xf>
    <xf numFmtId="0" fontId="2" fillId="3" borderId="0" xfId="0" applyFont="1" applyFill="1" applyBorder="1" applyAlignment="1" applyProtection="1">
      <protection hidden="1"/>
    </xf>
    <xf numFmtId="0" fontId="2" fillId="3" borderId="12" xfId="0" applyFont="1" applyFill="1" applyBorder="1" applyAlignment="1" applyProtection="1">
      <protection hidden="1"/>
    </xf>
    <xf numFmtId="0" fontId="2" fillId="3" borderId="1" xfId="0" applyFont="1" applyFill="1" applyBorder="1" applyAlignment="1" applyProtection="1">
      <protection hidden="1"/>
    </xf>
    <xf numFmtId="3" fontId="2" fillId="2" borderId="1" xfId="0" applyNumberFormat="1" applyFont="1" applyFill="1" applyBorder="1" applyProtection="1"/>
    <xf numFmtId="0" fontId="2" fillId="3" borderId="1" xfId="0" applyFont="1" applyFill="1" applyBorder="1" applyProtection="1"/>
    <xf numFmtId="0" fontId="2" fillId="3" borderId="1" xfId="0" applyFont="1" applyFill="1" applyBorder="1" applyAlignment="1" applyProtection="1">
      <alignment horizontal="left"/>
    </xf>
    <xf numFmtId="0" fontId="2" fillId="3"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2" fillId="3" borderId="1" xfId="0"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0" fontId="2" fillId="3" borderId="2" xfId="0" applyFont="1" applyFill="1" applyBorder="1" applyAlignment="1" applyProtection="1">
      <alignment vertical="center"/>
    </xf>
    <xf numFmtId="0" fontId="2" fillId="3" borderId="4" xfId="0" applyFont="1" applyFill="1" applyBorder="1" applyAlignment="1" applyProtection="1">
      <alignment vertical="center"/>
    </xf>
    <xf numFmtId="0" fontId="2" fillId="3" borderId="2" xfId="0" applyFont="1" applyFill="1" applyBorder="1" applyAlignment="1" applyProtection="1"/>
    <xf numFmtId="0" fontId="2" fillId="3" borderId="4" xfId="0" applyFont="1" applyFill="1" applyBorder="1" applyAlignment="1" applyProtection="1"/>
    <xf numFmtId="0" fontId="2" fillId="3" borderId="3" xfId="0" applyFont="1" applyFill="1" applyBorder="1" applyAlignment="1" applyProtection="1"/>
    <xf numFmtId="0" fontId="2" fillId="3" borderId="1" xfId="0" applyFont="1" applyFill="1" applyBorder="1" applyAlignment="1" applyProtection="1"/>
    <xf numFmtId="0" fontId="2" fillId="3" borderId="10" xfId="0" applyFont="1" applyFill="1" applyBorder="1" applyAlignment="1" applyProtection="1">
      <protection hidden="1"/>
    </xf>
    <xf numFmtId="0" fontId="2" fillId="3" borderId="10" xfId="0" applyFont="1" applyFill="1" applyBorder="1" applyAlignment="1" applyProtection="1">
      <alignment horizontal="center" vertical="center"/>
      <protection hidden="1"/>
    </xf>
    <xf numFmtId="0" fontId="2" fillId="3" borderId="1" xfId="0" applyFont="1" applyFill="1" applyBorder="1" applyAlignment="1" applyProtection="1">
      <alignment horizontal="center" vertical="center"/>
    </xf>
    <xf numFmtId="0" fontId="2" fillId="3" borderId="10" xfId="0" applyFont="1" applyFill="1" applyBorder="1" applyProtection="1">
      <protection hidden="1"/>
    </xf>
    <xf numFmtId="0" fontId="2" fillId="3" borderId="10" xfId="0" applyFont="1" applyFill="1" applyBorder="1" applyAlignment="1" applyProtection="1">
      <alignment horizontal="center"/>
      <protection hidden="1"/>
    </xf>
    <xf numFmtId="0" fontId="2" fillId="3" borderId="8" xfId="0" applyFont="1" applyFill="1" applyBorder="1" applyAlignment="1" applyProtection="1">
      <protection hidden="1"/>
    </xf>
    <xf numFmtId="0" fontId="2" fillId="3" borderId="2" xfId="0" applyFont="1" applyFill="1" applyBorder="1" applyProtection="1">
      <protection hidden="1"/>
    </xf>
    <xf numFmtId="0" fontId="2" fillId="2" borderId="1" xfId="0" applyFont="1" applyFill="1" applyBorder="1" applyAlignment="1" applyProtection="1">
      <alignment horizontal="center"/>
      <protection hidden="1"/>
    </xf>
    <xf numFmtId="0" fontId="2" fillId="2" borderId="1" xfId="0" applyFont="1" applyFill="1" applyBorder="1" applyAlignment="1" applyProtection="1">
      <protection hidden="1"/>
    </xf>
    <xf numFmtId="0" fontId="2" fillId="2" borderId="1" xfId="0" applyFont="1" applyFill="1" applyBorder="1" applyAlignment="1" applyProtection="1">
      <alignment horizontal="right"/>
      <protection hidden="1"/>
    </xf>
    <xf numFmtId="3" fontId="2" fillId="2" borderId="1" xfId="1" applyNumberFormat="1" applyFont="1" applyFill="1" applyBorder="1" applyAlignment="1" applyProtection="1">
      <alignment horizontal="center"/>
      <protection hidden="1"/>
    </xf>
    <xf numFmtId="0" fontId="2" fillId="3" borderId="10" xfId="0" applyFont="1" applyFill="1" applyBorder="1" applyProtection="1"/>
    <xf numFmtId="0" fontId="2" fillId="3" borderId="0" xfId="0" applyFont="1" applyFill="1" applyBorder="1" applyAlignment="1" applyProtection="1">
      <alignment horizontal="center" vertical="center"/>
      <protection hidden="1"/>
    </xf>
    <xf numFmtId="0" fontId="10" fillId="5" borderId="0" xfId="0" applyFont="1" applyFill="1" applyBorder="1" applyAlignment="1">
      <alignment horizontal="center" vertical="center"/>
    </xf>
    <xf numFmtId="0" fontId="0" fillId="5" borderId="0" xfId="0" applyFill="1" applyBorder="1"/>
    <xf numFmtId="0" fontId="6" fillId="0" borderId="0" xfId="0" applyFont="1" applyAlignment="1" applyProtection="1">
      <alignment horizontal="left"/>
      <protection hidden="1"/>
    </xf>
    <xf numFmtId="0" fontId="6" fillId="0" borderId="0" xfId="0" applyFont="1" applyAlignment="1" applyProtection="1">
      <alignment horizontal="center"/>
      <protection hidden="1"/>
    </xf>
    <xf numFmtId="0" fontId="5" fillId="4" borderId="0" xfId="0" applyFont="1" applyFill="1" applyAlignment="1" applyProtection="1">
      <alignment horizontal="center" vertical="center"/>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2" fillId="3"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xf>
    <xf numFmtId="0" fontId="2" fillId="3" borderId="13" xfId="0" applyFont="1" applyFill="1" applyBorder="1" applyAlignment="1" applyProtection="1">
      <alignment horizontal="center" vertical="center"/>
    </xf>
    <xf numFmtId="0" fontId="2" fillId="3" borderId="14" xfId="0" applyFont="1" applyFill="1" applyBorder="1" applyAlignment="1" applyProtection="1">
      <alignment horizontal="center" vertical="center"/>
    </xf>
    <xf numFmtId="0" fontId="2" fillId="3" borderId="13" xfId="0" applyFont="1" applyFill="1" applyBorder="1" applyAlignment="1" applyProtection="1">
      <alignment horizontal="center" vertical="center"/>
      <protection locked="0"/>
    </xf>
    <xf numFmtId="0" fontId="2" fillId="3" borderId="14"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xf>
    <xf numFmtId="0" fontId="2" fillId="3" borderId="4" xfId="0" applyFont="1" applyFill="1" applyBorder="1" applyAlignment="1" applyProtection="1">
      <alignment horizontal="center" vertical="center"/>
    </xf>
    <xf numFmtId="0" fontId="2" fillId="3" borderId="1" xfId="0" applyFont="1" applyFill="1" applyBorder="1" applyAlignment="1" applyProtection="1">
      <alignment horizontal="center"/>
    </xf>
    <xf numFmtId="0" fontId="1" fillId="3" borderId="2" xfId="0" applyFont="1" applyFill="1" applyBorder="1" applyAlignment="1" applyProtection="1">
      <alignment horizontal="right"/>
      <protection hidden="1"/>
    </xf>
    <xf numFmtId="0" fontId="2" fillId="3" borderId="4" xfId="0" applyFont="1" applyFill="1" applyBorder="1" applyAlignment="1" applyProtection="1">
      <alignment horizontal="right"/>
      <protection hidden="1"/>
    </xf>
    <xf numFmtId="0" fontId="2" fillId="3" borderId="3" xfId="0" applyFont="1" applyFill="1" applyBorder="1" applyAlignment="1" applyProtection="1">
      <alignment horizontal="right"/>
      <protection hidden="1"/>
    </xf>
    <xf numFmtId="3" fontId="2" fillId="2" borderId="2" xfId="0" applyNumberFormat="1" applyFont="1" applyFill="1" applyBorder="1" applyAlignment="1" applyProtection="1">
      <alignment horizontal="center"/>
      <protection hidden="1"/>
    </xf>
    <xf numFmtId="3" fontId="2" fillId="2" borderId="4" xfId="0" applyNumberFormat="1" applyFont="1" applyFill="1" applyBorder="1" applyAlignment="1" applyProtection="1">
      <alignment horizontal="center"/>
      <protection hidden="1"/>
    </xf>
    <xf numFmtId="3" fontId="2" fillId="2" borderId="3" xfId="0" applyNumberFormat="1" applyFont="1" applyFill="1" applyBorder="1" applyAlignment="1" applyProtection="1">
      <alignment horizontal="center"/>
      <protection hidden="1"/>
    </xf>
    <xf numFmtId="0" fontId="2" fillId="2" borderId="2" xfId="0" applyFont="1" applyFill="1" applyBorder="1" applyAlignment="1" applyProtection="1">
      <alignment horizontal="center"/>
      <protection hidden="1"/>
    </xf>
    <xf numFmtId="0" fontId="2" fillId="2" borderId="4" xfId="0" applyFont="1" applyFill="1" applyBorder="1" applyAlignment="1" applyProtection="1">
      <alignment horizontal="center"/>
      <protection hidden="1"/>
    </xf>
    <xf numFmtId="0" fontId="2" fillId="2" borderId="3" xfId="0" applyFont="1" applyFill="1" applyBorder="1" applyAlignment="1" applyProtection="1">
      <alignment horizontal="center"/>
      <protection hidden="1"/>
    </xf>
    <xf numFmtId="0" fontId="3" fillId="2" borderId="5" xfId="0" applyFont="1" applyFill="1" applyBorder="1" applyAlignment="1" applyProtection="1">
      <alignment horizontal="center" vertical="center"/>
      <protection hidden="1"/>
    </xf>
    <xf numFmtId="0" fontId="3" fillId="2" borderId="11" xfId="0" applyFont="1" applyFill="1" applyBorder="1" applyAlignment="1" applyProtection="1">
      <alignment horizontal="center" vertical="center"/>
      <protection hidden="1"/>
    </xf>
    <xf numFmtId="0" fontId="3" fillId="2" borderId="6" xfId="0" applyFont="1" applyFill="1" applyBorder="1" applyAlignment="1" applyProtection="1">
      <alignment horizontal="center" vertical="center"/>
      <protection hidden="1"/>
    </xf>
    <xf numFmtId="0" fontId="3" fillId="2" borderId="7" xfId="0" applyFont="1" applyFill="1" applyBorder="1" applyAlignment="1" applyProtection="1">
      <alignment horizontal="center" vertical="center"/>
      <protection hidden="1"/>
    </xf>
    <xf numFmtId="0" fontId="3" fillId="2" borderId="8" xfId="0" applyFont="1" applyFill="1" applyBorder="1" applyAlignment="1" applyProtection="1">
      <alignment horizontal="center" vertical="center"/>
      <protection hidden="1"/>
    </xf>
    <xf numFmtId="0" fontId="3" fillId="2" borderId="9" xfId="0" applyFont="1" applyFill="1" applyBorder="1" applyAlignment="1" applyProtection="1">
      <alignment horizontal="center" vertical="center"/>
      <protection hidden="1"/>
    </xf>
    <xf numFmtId="0" fontId="2" fillId="3" borderId="0" xfId="0" applyFont="1" applyFill="1" applyBorder="1" applyAlignment="1" applyProtection="1">
      <alignment horizontal="center" vertical="center"/>
      <protection hidden="1"/>
    </xf>
    <xf numFmtId="0" fontId="4" fillId="2" borderId="2" xfId="0" applyFont="1" applyFill="1" applyBorder="1" applyAlignment="1" applyProtection="1">
      <alignment horizontal="center"/>
      <protection hidden="1"/>
    </xf>
    <xf numFmtId="0" fontId="4" fillId="2" borderId="4" xfId="0" applyFont="1" applyFill="1" applyBorder="1" applyAlignment="1" applyProtection="1">
      <alignment horizontal="center"/>
      <protection hidden="1"/>
    </xf>
    <xf numFmtId="0" fontId="4" fillId="2" borderId="3" xfId="0" applyFont="1" applyFill="1" applyBorder="1" applyAlignment="1" applyProtection="1">
      <alignment horizontal="center"/>
      <protection hidden="1"/>
    </xf>
    <xf numFmtId="0" fontId="3" fillId="2" borderId="2" xfId="0" applyFont="1" applyFill="1" applyBorder="1" applyAlignment="1" applyProtection="1">
      <alignment horizontal="center"/>
      <protection hidden="1"/>
    </xf>
    <xf numFmtId="0" fontId="3" fillId="2" borderId="4" xfId="0" applyFont="1" applyFill="1" applyBorder="1" applyAlignment="1" applyProtection="1">
      <alignment horizontal="center"/>
      <protection hidden="1"/>
    </xf>
    <xf numFmtId="0" fontId="3" fillId="2" borderId="3" xfId="0" applyFont="1" applyFill="1" applyBorder="1" applyAlignment="1" applyProtection="1">
      <alignment horizontal="center"/>
      <protection hidden="1"/>
    </xf>
    <xf numFmtId="0" fontId="2" fillId="3" borderId="1" xfId="0" applyFont="1" applyFill="1" applyBorder="1" applyAlignment="1" applyProtection="1">
      <alignment horizontal="center" vertical="center"/>
      <protection hidden="1"/>
    </xf>
    <xf numFmtId="0" fontId="2" fillId="3" borderId="10" xfId="0"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0" xfId="0" applyFont="1" applyFill="1" applyBorder="1" applyAlignment="1" applyProtection="1">
      <alignment horizontal="center"/>
      <protection hidden="1"/>
    </xf>
    <xf numFmtId="0" fontId="2" fillId="3" borderId="12" xfId="0"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0" fontId="9" fillId="2" borderId="11" xfId="0" applyFont="1" applyFill="1" applyBorder="1" applyAlignment="1" applyProtection="1">
      <alignment horizontal="center"/>
      <protection hidden="1"/>
    </xf>
    <xf numFmtId="0" fontId="9" fillId="2" borderId="6" xfId="0" applyFont="1" applyFill="1" applyBorder="1" applyAlignment="1" applyProtection="1">
      <alignment horizontal="center"/>
      <protection hidden="1"/>
    </xf>
    <xf numFmtId="0" fontId="9" fillId="2" borderId="7" xfId="0" applyFont="1" applyFill="1" applyBorder="1" applyAlignment="1" applyProtection="1">
      <alignment horizontal="center"/>
      <protection hidden="1"/>
    </xf>
    <xf numFmtId="0" fontId="9" fillId="2" borderId="8" xfId="0" applyFont="1" applyFill="1" applyBorder="1" applyAlignment="1" applyProtection="1">
      <alignment horizontal="center"/>
      <protection hidden="1"/>
    </xf>
    <xf numFmtId="0" fontId="9" fillId="2" borderId="9" xfId="0" applyFont="1" applyFill="1" applyBorder="1" applyAlignment="1" applyProtection="1">
      <alignment horizontal="center"/>
      <protection hidden="1"/>
    </xf>
    <xf numFmtId="3" fontId="2" fillId="2" borderId="2" xfId="1" applyNumberFormat="1" applyFont="1" applyFill="1" applyBorder="1" applyAlignment="1" applyProtection="1">
      <alignment horizontal="center"/>
      <protection hidden="1"/>
    </xf>
    <xf numFmtId="3" fontId="2" fillId="2" borderId="4" xfId="1" applyNumberFormat="1" applyFont="1" applyFill="1" applyBorder="1" applyAlignment="1" applyProtection="1">
      <alignment horizontal="center"/>
      <protection hidden="1"/>
    </xf>
    <xf numFmtId="3" fontId="2" fillId="2" borderId="3" xfId="1" applyNumberFormat="1" applyFont="1" applyFill="1" applyBorder="1" applyAlignment="1" applyProtection="1">
      <alignment horizontal="center"/>
      <protection hidden="1"/>
    </xf>
    <xf numFmtId="0" fontId="2" fillId="3" borderId="0" xfId="0" applyFont="1" applyFill="1" applyBorder="1" applyAlignment="1" applyProtection="1">
      <alignment horizontal="center"/>
    </xf>
    <xf numFmtId="0" fontId="0" fillId="0" borderId="0" xfId="0" applyAlignment="1">
      <alignment horizontal="center"/>
    </xf>
    <xf numFmtId="0" fontId="10" fillId="3" borderId="0" xfId="0" applyFont="1" applyFill="1" applyAlignment="1">
      <alignment horizontal="center" vertical="center"/>
    </xf>
    <xf numFmtId="0" fontId="2" fillId="2" borderId="0" xfId="0" applyFont="1" applyFill="1" applyBorder="1" applyProtection="1">
      <protection hidden="1"/>
    </xf>
    <xf numFmtId="0" fontId="2" fillId="2" borderId="0" xfId="0" applyFont="1" applyFill="1" applyBorder="1" applyAlignment="1" applyProtection="1">
      <alignment horizontal="center" vertical="center"/>
      <protection hidden="1"/>
    </xf>
    <xf numFmtId="0" fontId="1" fillId="3" borderId="5" xfId="0" applyFont="1" applyFill="1" applyBorder="1" applyAlignment="1" applyProtection="1">
      <alignment horizontal="center" vertical="center"/>
      <protection hidden="1"/>
    </xf>
    <xf numFmtId="0" fontId="1" fillId="3" borderId="11" xfId="0" applyFont="1" applyFill="1" applyBorder="1" applyAlignment="1" applyProtection="1">
      <alignment horizontal="center" vertical="center"/>
      <protection hidden="1"/>
    </xf>
    <xf numFmtId="0" fontId="1" fillId="3" borderId="6" xfId="0" applyFont="1" applyFill="1" applyBorder="1" applyAlignment="1" applyProtection="1">
      <alignment horizontal="center" vertical="center"/>
      <protection hidden="1"/>
    </xf>
    <xf numFmtId="0" fontId="1" fillId="3" borderId="10" xfId="0" applyFont="1" applyFill="1" applyBorder="1" applyAlignment="1" applyProtection="1">
      <alignment horizontal="center" vertical="center"/>
      <protection hidden="1"/>
    </xf>
    <xf numFmtId="0" fontId="1" fillId="3" borderId="0" xfId="0" applyFont="1" applyFill="1" applyBorder="1" applyAlignment="1" applyProtection="1">
      <alignment horizontal="center" vertical="center"/>
      <protection hidden="1"/>
    </xf>
    <xf numFmtId="0" fontId="1" fillId="3" borderId="12" xfId="0" applyFont="1" applyFill="1" applyBorder="1" applyAlignment="1" applyProtection="1">
      <alignment horizontal="center" vertical="center"/>
      <protection hidden="1"/>
    </xf>
    <xf numFmtId="0" fontId="1" fillId="3" borderId="7" xfId="0" applyFont="1" applyFill="1" applyBorder="1" applyAlignment="1" applyProtection="1">
      <alignment horizontal="center" vertical="center"/>
      <protection hidden="1"/>
    </xf>
    <xf numFmtId="0" fontId="1" fillId="3" borderId="8" xfId="0" applyFont="1" applyFill="1" applyBorder="1" applyAlignment="1" applyProtection="1">
      <alignment horizontal="center" vertical="center"/>
      <protection hidden="1"/>
    </xf>
    <xf numFmtId="0" fontId="1" fillId="3" borderId="9" xfId="0" applyFont="1" applyFill="1" applyBorder="1" applyAlignment="1" applyProtection="1">
      <alignment horizontal="center" vertical="center"/>
      <protection hidden="1"/>
    </xf>
    <xf numFmtId="0" fontId="0" fillId="0" borderId="0" xfId="0" applyBorder="1"/>
  </cellXfs>
  <cellStyles count="2">
    <cellStyle name="Comma" xfId="1" builtinId="3"/>
    <cellStyle name="Normal" xfId="0" builtinId="0"/>
  </cellStyles>
  <dxfs count="0"/>
  <tableStyles count="0" defaultTableStyle="TableStyleMedium9" defaultPivotStyle="PivotStyleLight16"/>
  <colors>
    <mruColors>
      <color rgb="FFB3B4B9"/>
      <color rgb="FF0606E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352423</xdr:rowOff>
    </xdr:from>
    <xdr:to>
      <xdr:col>14</xdr:col>
      <xdr:colOff>742950</xdr:colOff>
      <xdr:row>81</xdr:row>
      <xdr:rowOff>47626</xdr:rowOff>
    </xdr:to>
    <xdr:sp macro="" textlink="">
      <xdr:nvSpPr>
        <xdr:cNvPr id="3" name="TextBox 2"/>
        <xdr:cNvSpPr txBox="1"/>
      </xdr:nvSpPr>
      <xdr:spPr>
        <a:xfrm>
          <a:off x="0" y="352423"/>
          <a:ext cx="9277350" cy="1530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everyone who wants to know how this came about, this is the place for you.</a:t>
          </a:r>
          <a:r>
            <a:rPr lang="en-US" sz="1100" baseline="0"/>
            <a:t> Again, thanks so much for using this in your attempt  to have a perfect file of Final Fantasy IX. Now, for the math behind this.</a:t>
          </a:r>
        </a:p>
        <a:p>
          <a:endParaRPr lang="en-US" sz="1100" baseline="0"/>
        </a:p>
        <a:p>
          <a:r>
            <a:rPr lang="en-US" sz="1100" baseline="0"/>
            <a:t>First of all, depending on your perfect amounts also depends on how the math works. Let's assume you want  the perfect amounts as defined by Atomos199. We will use an equippment that requires many synthesis combinations for this example. </a:t>
          </a:r>
        </a:p>
        <a:p>
          <a:endParaRPr lang="en-US" sz="1100" baseline="0"/>
        </a:p>
        <a:p>
          <a:r>
            <a:rPr lang="en-US" sz="1100" u="sng" baseline="0"/>
            <a:t>Math Behind a Chain</a:t>
          </a:r>
        </a:p>
        <a:p>
          <a:endParaRPr lang="en-US" sz="1100" baseline="0"/>
        </a:p>
        <a:p>
          <a:r>
            <a:rPr lang="en-US" sz="1100" baseline="0"/>
            <a:t>First, we will start with the Bone Wrist, which is the most item needed for all the equippment. You need 7 for your perfect amount, so we will start with 7. Next, looking at all that need the Bone Wrist, we see that there a LOT. They are the Magician Shoes, Madain's Ring, Rosetta Ring, Reflect Ring, Feather Boots, Circlet, Battle Boots, and Bracer. WOW, that's a lot, and if you make a mistake in one calculation, you have to go back and buy that equippment. What a pain that must be... Trust me, it's happened to me so many times that I lost count. Now, let's go down the list:</a:t>
          </a:r>
        </a:p>
        <a:p>
          <a:endParaRPr lang="en-US" sz="1100" baseline="0"/>
        </a:p>
        <a:p>
          <a:r>
            <a:rPr lang="en-US" sz="1100" baseline="0"/>
            <a:t>Now we need those items in perfect amounts also. That means you also need that many Bone Wrists to fulfill those needs. So, let us look at each item. We need the Bone Wrist to start two synthesizing chains, which are the Magician Shoes and the Madain's Ring. Both of them have 9 as a perfect amount, so that should mean that 7 Bone Wrists plus the 9 from the Magician Shoes and 9 from the Madain's Ring totals to 25 Bone Wrists we need to buy? Think again! The Madain's Ring and the Magician Shoes are also used for further synthesizing chains... So, we must continue up the road. To make things much simplier, I will start with the Magician Shoes chain.</a:t>
          </a:r>
        </a:p>
        <a:p>
          <a:endParaRPr lang="en-US" sz="1100" baseline="0"/>
        </a:p>
        <a:p>
          <a:r>
            <a:rPr lang="en-US" sz="1100" baseline="0"/>
            <a:t>So, the Magician Shoes are used to synth into Feather Boots, which in perfect amounts is 9. That means you need 18 Magician Shoes to get those 9 Feather Boots. But that requires Bone Wrists, so 7 initial plus 9 for the Magician Shoes plus 9 more for the Feather Boots is 25 Bone Wrists just for the Magician Shoes chain alone! That means we need 25 Bone Wrists and 18 Magician Shoes to make 9 Feather Boots so that each item is in their perfect amounts after everything is done. But wait, we are still aren't done?! Nope, the Feather boots are needed to make the Battle Boots, which in perfect amounts is 9. That means another 9 Bone Wrists, Magician Shoes, and Feather Boots. Sheesh! Using what we now know, we need  34 Bone Wrists, 27 Magician Shoes, and 18 Feather Boots to make 9 Battle Boots (9 added to all of the items before the chain to make the perfect amount of Battle Boots). Thankfully, one more item is in this chain: the Bracer. Battle Boots are needed to make them, and 7 is the perfect amount of Bracers. That means you need 7 more Bone Wrists, Magician Shoes, Feather Boots, and Battle Boots to make our 7 Bracers. So now the totals are 41 Bone Wrist, 34 Magician Shoes, 25 Feather Boots, 16 Battle Boots, and 7 Bracers for that chain. Are you following me? If yes, good. But, we still have that Madain's Ring chain, meaning the Bone Wrists will have to increase in quantity for the whole thing to be completed, but not the Feather Boots thru the Bracer since they were in their own chain. Now, on the Madain's Ring chain.</a:t>
          </a:r>
        </a:p>
        <a:p>
          <a:endParaRPr lang="en-US" sz="1100" baseline="0"/>
        </a:p>
        <a:p>
          <a:r>
            <a:rPr lang="en-US" sz="1100" baseline="0"/>
            <a:t>The Madain's Ring are needed to make 2 more chains: the Reflect Ring and the Rosetta Ring., but we need 9 Madain's Ring for our perfect amount, meaning we need 9 more Bone Wrists. Total: 50 Bone Wrists to make 9 Madain's Rings. We'll start with the Reflect Ring since it is the last equipment in that chain. 9 is the perfect amount, so that means you need 9 more Bone Wrists and 9 more Madain's Rings. Total: 59 Bone Wrists (41 from our last chain plus 9 for Madain's Ring plus 9 for Reflect Ring) and 18 Madain's Rings to make 9 Reflect Rings. However, the Madain's Ring has another chain, so let's look at that. The Madain's Ring is also used to make the Rosetta Ring, which is 9 in perfect amounts. That means we need 9 more Bone Wrists and 9 more Madain's Rings. Total: 59 Bone Wrists (41 from last chain plus 9 from Madain's Ring first chain plus 9 for this one) and 27 Madain's Rings (18 for first chain plus 9 for this one), but there's only one more on this chain, which is the Circlet. The perfect amount is 7, which means 7 more Bone Wrists, Madain's Rings, and Rosetta Rings to satisfy the Circlet needs. Totals: 75 Bone Wrist, 34 Madain's Rings, and 18 Rosetta Rings to make 7 Circlets. So, if we look at EVERYTHING from all the chains, this is what we need:</a:t>
          </a:r>
        </a:p>
        <a:p>
          <a:endParaRPr lang="en-US" sz="1100" baseline="0"/>
        </a:p>
        <a:p>
          <a:r>
            <a:rPr lang="en-US" sz="1100" baseline="0"/>
            <a:t>75 Bone Wrists =&gt; 34 Magician Shoes =&gt; 25 Feather Boots =&gt; 14 Battle Boots =&gt; 7 Bracers</a:t>
          </a:r>
        </a:p>
        <a:p>
          <a:r>
            <a:rPr lang="en-US" sz="1100" baseline="0"/>
            <a:t>                            =&gt; 34 Madain's Rings =&gt; 9 Reflect Rings</a:t>
          </a:r>
        </a:p>
        <a:p>
          <a:r>
            <a:rPr lang="en-US" sz="1100" baseline="0"/>
            <a:t>		         =&gt; 16 Rosetta Rings =&gt; 7 Circlets</a:t>
          </a:r>
        </a:p>
        <a:p>
          <a:endParaRPr lang="en-US" sz="1100" baseline="0"/>
        </a:p>
        <a:p>
          <a:r>
            <a:rPr lang="en-US" sz="1100" baseline="0"/>
            <a:t>This is the entire chain. And you have to do this for EVERY item that requires further synthesis. This method was used to obtain the missable equipment for Atomos199's guide. That's why he wants you to buy 14 Chain Mails and 8 Zorlin Shapes and stuff like that. But, another question is: what if I found treasure of those items? Does that mean the calculations will be different? Yes, and I will show an example that would be very tedious on paper!</a:t>
          </a:r>
        </a:p>
        <a:p>
          <a:endParaRPr lang="en-US" sz="1100" baseline="0"/>
        </a:p>
        <a:p>
          <a:r>
            <a:rPr lang="en-US" sz="1100" u="sng" baseline="0"/>
            <a:t>Math Behind Found Equipment</a:t>
          </a:r>
          <a:endParaRPr lang="en-US" sz="1100" u="none" baseline="0"/>
        </a:p>
        <a:p>
          <a:endParaRPr lang="en-US" sz="1100" u="none" baseline="0"/>
        </a:p>
        <a:p>
          <a:r>
            <a:rPr lang="en-US" sz="1100" u="none" baseline="0"/>
            <a:t>Let's say we picked up a Battle Boots. That means we would need one less Feather Boots, one less Magician Shoes, and one less Bone Wrist for the entire list. And then, if you found any of the other lists, you would have to keep subtracting from it, which would cause a huge headache. Trust me, I know the feeling. That is why the Future Treasures Sheet is there since you will be getting those treasures, and the program will subtract those off of the Buying and Synthing Sheet. You actually need  15 Chain Mail, 3 for the perfect amount, 9 for the Power Belts, and 3 for the Grand Helms, but a Power Belt is gotten during the run, so one Chain Mail is subtracted to give us 14. This is done for every item here. Do you really want to do that with everything and accidentally mess up? Didn't think so, but that's why this part was added. </a:t>
          </a:r>
        </a:p>
        <a:p>
          <a:endParaRPr lang="en-US" sz="1100" u="none" baseline="0"/>
        </a:p>
        <a:p>
          <a:r>
            <a:rPr lang="en-US" sz="1100" u="sng" baseline="0"/>
            <a:t>Math Behind Multiple Equipments</a:t>
          </a:r>
          <a:endParaRPr lang="en-US" sz="1100" u="none" baseline="0"/>
        </a:p>
        <a:p>
          <a:endParaRPr lang="en-US" sz="1100" u="none" baseline="0"/>
        </a:p>
        <a:p>
          <a:r>
            <a:rPr lang="en-US" sz="1100" u="none" baseline="0"/>
            <a:t>This example is used on the Gaia Gear, since it is used  to make the Black Robe and a White Robe. Then, both of those make the Robe of Lords. So, what this means if you find or steal a Robe of Lords, you will need one less Black Robe, one less White Robe, and two less Gaia Gears since it will take 2 to make the Robe of Lords. This can also be used on The Ogre which takes 2 Mage Mashers to make and the Rune Tooth which takes 2 Mythril Daggers to make.</a:t>
          </a:r>
        </a:p>
        <a:p>
          <a:endParaRPr lang="en-US" sz="1100" u="none" baseline="0"/>
        </a:p>
        <a:p>
          <a:r>
            <a:rPr lang="en-US" sz="1100" u="sng" baseline="0"/>
            <a:t>Math Behind Gil Cost</a:t>
          </a:r>
          <a:endParaRPr lang="en-US" sz="1100" u="none" baseline="0"/>
        </a:p>
        <a:p>
          <a:endParaRPr lang="en-US" sz="1100" u="none" baseline="0"/>
        </a:p>
        <a:p>
          <a:r>
            <a:rPr lang="en-US" sz="1100" u="none" baseline="0"/>
            <a:t>Obviously, you need Gil, and depending on what your set perfect amount is, a lot of it regardless. There is a Gil Cost and Sell in the Buying and Synthing sheet. When everything is typed in, it may tell you to sell some equipment. Of course, this will give you more Gil meaning less grinding. The basic math on this is the number of things to be bought is multiplied by the cost of one. Those all are added to that area to tell you the cost of everything. Then, all those are added to show you how much Gil total you need to make for everything. That's why I instruct you to fill in everything you have and will get since that will determine your new Gil cost for all that you want. </a:t>
          </a:r>
        </a:p>
        <a:p>
          <a:endParaRPr lang="en-US" sz="1100" u="none" baseline="0"/>
        </a:p>
        <a:p>
          <a:r>
            <a:rPr lang="en-US" sz="1100" u="none" baseline="0"/>
            <a:t>On the ones that you need to sell, it will subtract from the Gil cost, meaning you make a little bit of Gil to spend on the rest of your items. But, how does this program determine what gets bought and sold? Well, the answer is simple. It uses an IF statement on the Cost boxes. An IF statement states like this: </a:t>
          </a:r>
          <a:r>
            <a:rPr lang="en-US" sz="1100" b="1" u="none" baseline="0"/>
            <a:t>IF(</a:t>
          </a:r>
          <a:r>
            <a:rPr lang="en-US" sz="1100" b="1" i="1" u="none" baseline="0"/>
            <a:t>result is true, calculate if true, calculate if false)</a:t>
          </a:r>
          <a:r>
            <a:rPr lang="en-US" sz="1100" i="1" u="none" baseline="0"/>
            <a:t>. </a:t>
          </a:r>
          <a:r>
            <a:rPr lang="en-US" sz="1100" i="0" u="none" baseline="0"/>
            <a:t>In my example, if the number is positive, then calculate the cost. If it isn't, it calculates what to sell. You shouldn't have to spend more than what you need to, so this is why I did it this way. It was to prevent too much cost and too many items bought. </a:t>
          </a:r>
        </a:p>
        <a:p>
          <a:endParaRPr lang="en-US" sz="1100" i="0" u="none" baseline="0"/>
        </a:p>
        <a:p>
          <a:r>
            <a:rPr lang="en-US" sz="1100" i="0" u="sng" baseline="0"/>
            <a:t>Why Amount Gotten/Purchased</a:t>
          </a:r>
          <a:endParaRPr lang="en-US" sz="1100" i="0" u="none" baseline="0"/>
        </a:p>
        <a:p>
          <a:endParaRPr lang="en-US" sz="1100" i="0" u="none" baseline="0"/>
        </a:p>
        <a:p>
          <a:r>
            <a:rPr lang="en-US" sz="1100" i="0" u="none" baseline="0"/>
            <a:t>Some people might look at this and wonder why I ask them to type in how many items they have obtained or purchased. That is because it makes the math so much easier with no screw ups (as far as I know). Originally, it was going to be "Amount Now", but there were way too many problems with the math. For example, if you were to buy 27 Steepled Hats, but already had 3 in the inventory, then originally you would type in 30. But, here was the problem: If you were to take the math behind this:</a:t>
          </a:r>
        </a:p>
        <a:p>
          <a:endParaRPr lang="en-US" sz="1100" i="0" u="none" baseline="0"/>
        </a:p>
        <a:p>
          <a:r>
            <a:rPr lang="en-US" sz="1100" b="1" i="1" u="none" baseline="0"/>
            <a:t>PerfectAmountA - HaveAmountA - FutureTreasureA + PerfectAmountB - HaveAmountB - FutureTreasureB +... ... </a:t>
          </a:r>
        </a:p>
        <a:p>
          <a:endParaRPr lang="en-US" sz="1100" i="0" u="none" baseline="0"/>
        </a:p>
        <a:p>
          <a:r>
            <a:rPr lang="en-US" sz="1100" i="0" u="none" baseline="0"/>
            <a:t>This is the math for determining what you need to buy. Now, if we purchased what the program told us to buy, how can we make it 0 to tell it that we have bought all we need? Well, if I would have planned the "Amount Purchased" to "Amount Now", we couldn't just simply subtract that from the formula or it would be negative. That would tell the program to imform us to sell the items since it's negative, which we DON'T want. Too many bugs were in that way, so I decided to put in "Amount Purchased" to make it subtract the same number to be bought, which would make it 0 to eliminate that item from the list. So, that is why I did that (in case any of you were wondering).</a:t>
          </a:r>
        </a:p>
        <a:p>
          <a:endParaRPr lang="en-US" sz="1100" i="0" u="none"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5"/>
  <sheetViews>
    <sheetView tabSelected="1" zoomScaleNormal="100" workbookViewId="0">
      <selection sqref="A1:T3"/>
    </sheetView>
  </sheetViews>
  <sheetFormatPr defaultRowHeight="15" x14ac:dyDescent="0.25"/>
  <cols>
    <col min="1" max="16384" width="9.140625" style="34"/>
  </cols>
  <sheetData>
    <row r="1" spans="1:20" x14ac:dyDescent="0.25">
      <c r="A1" s="78" t="s">
        <v>278</v>
      </c>
      <c r="B1" s="78"/>
      <c r="C1" s="78"/>
      <c r="D1" s="78"/>
      <c r="E1" s="78"/>
      <c r="F1" s="78"/>
      <c r="G1" s="78"/>
      <c r="H1" s="78"/>
      <c r="I1" s="78"/>
      <c r="J1" s="78"/>
      <c r="K1" s="78"/>
      <c r="L1" s="78"/>
      <c r="M1" s="78"/>
      <c r="N1" s="78"/>
      <c r="O1" s="78"/>
      <c r="P1" s="78"/>
      <c r="Q1" s="78"/>
      <c r="R1" s="78"/>
      <c r="S1" s="78"/>
      <c r="T1" s="78"/>
    </row>
    <row r="2" spans="1:20" x14ac:dyDescent="0.25">
      <c r="A2" s="78"/>
      <c r="B2" s="78"/>
      <c r="C2" s="78"/>
      <c r="D2" s="78"/>
      <c r="E2" s="78"/>
      <c r="F2" s="78"/>
      <c r="G2" s="78"/>
      <c r="H2" s="78"/>
      <c r="I2" s="78"/>
      <c r="J2" s="78"/>
      <c r="K2" s="78"/>
      <c r="L2" s="78"/>
      <c r="M2" s="78"/>
      <c r="N2" s="78"/>
      <c r="O2" s="78"/>
      <c r="P2" s="78"/>
      <c r="Q2" s="78"/>
      <c r="R2" s="78"/>
      <c r="S2" s="78"/>
      <c r="T2" s="78"/>
    </row>
    <row r="3" spans="1:20" x14ac:dyDescent="0.25">
      <c r="A3" s="78"/>
      <c r="B3" s="78"/>
      <c r="C3" s="78"/>
      <c r="D3" s="78"/>
      <c r="E3" s="78"/>
      <c r="F3" s="78"/>
      <c r="G3" s="78"/>
      <c r="H3" s="78"/>
      <c r="I3" s="78"/>
      <c r="J3" s="78"/>
      <c r="K3" s="78"/>
      <c r="L3" s="78"/>
      <c r="M3" s="78"/>
      <c r="N3" s="78"/>
      <c r="O3" s="78"/>
      <c r="P3" s="78"/>
      <c r="Q3" s="78"/>
      <c r="R3" s="78"/>
      <c r="S3" s="78"/>
      <c r="T3" s="78"/>
    </row>
    <row r="4" spans="1:20" s="79" customFormat="1" x14ac:dyDescent="0.25"/>
    <row r="5" spans="1:20" ht="18.75" x14ac:dyDescent="0.3">
      <c r="A5" s="76" t="s">
        <v>279</v>
      </c>
      <c r="B5" s="76"/>
      <c r="C5" s="76"/>
      <c r="D5" s="76"/>
      <c r="E5" s="76"/>
      <c r="F5" s="76"/>
      <c r="G5" s="76"/>
      <c r="H5" s="76"/>
      <c r="I5" s="76"/>
      <c r="J5" s="76"/>
      <c r="K5" s="76"/>
      <c r="L5" s="76"/>
      <c r="M5" s="76"/>
      <c r="N5" s="76"/>
      <c r="O5" s="76"/>
      <c r="P5" s="76"/>
      <c r="Q5" s="76"/>
      <c r="R5" s="76"/>
      <c r="S5" s="76"/>
      <c r="T5" s="76"/>
    </row>
    <row r="6" spans="1:20" ht="18.75" x14ac:dyDescent="0.3">
      <c r="A6" s="76" t="s">
        <v>280</v>
      </c>
      <c r="B6" s="80"/>
      <c r="C6" s="80"/>
      <c r="D6" s="80"/>
      <c r="E6" s="80"/>
      <c r="F6" s="80"/>
      <c r="G6" s="80"/>
      <c r="H6" s="80"/>
      <c r="I6" s="80"/>
      <c r="J6" s="80"/>
      <c r="K6" s="80"/>
      <c r="L6" s="80"/>
      <c r="M6" s="80"/>
      <c r="N6" s="80"/>
      <c r="O6" s="80"/>
      <c r="P6" s="80"/>
      <c r="Q6" s="80"/>
      <c r="R6" s="80"/>
      <c r="S6" s="80"/>
      <c r="T6" s="80"/>
    </row>
    <row r="7" spans="1:20" ht="18.75" x14ac:dyDescent="0.3">
      <c r="A7" s="76" t="s">
        <v>281</v>
      </c>
      <c r="B7" s="76"/>
      <c r="C7" s="76"/>
      <c r="D7" s="76"/>
      <c r="E7" s="76"/>
      <c r="F7" s="76"/>
      <c r="G7" s="76"/>
      <c r="H7" s="76"/>
      <c r="I7" s="76"/>
      <c r="J7" s="76"/>
      <c r="K7" s="76"/>
      <c r="L7" s="76"/>
      <c r="M7" s="76"/>
      <c r="N7" s="76"/>
      <c r="O7" s="76"/>
      <c r="P7" s="76"/>
      <c r="Q7" s="76"/>
      <c r="R7" s="76"/>
      <c r="S7" s="76"/>
      <c r="T7" s="76"/>
    </row>
    <row r="8" spans="1:20" ht="18.75" x14ac:dyDescent="0.3">
      <c r="A8" s="76" t="s">
        <v>432</v>
      </c>
      <c r="B8" s="76"/>
      <c r="C8" s="76"/>
      <c r="D8" s="76"/>
      <c r="E8" s="76"/>
      <c r="F8" s="76"/>
      <c r="G8" s="76"/>
      <c r="H8" s="76"/>
      <c r="I8" s="76"/>
      <c r="J8" s="76"/>
      <c r="K8" s="76"/>
      <c r="L8" s="76"/>
      <c r="M8" s="76"/>
      <c r="N8" s="76"/>
      <c r="O8" s="76"/>
      <c r="P8" s="76"/>
      <c r="Q8" s="76"/>
      <c r="R8" s="76"/>
      <c r="S8" s="76"/>
      <c r="T8" s="76"/>
    </row>
    <row r="9" spans="1:20" ht="18.75" x14ac:dyDescent="0.3">
      <c r="A9" s="76" t="s">
        <v>433</v>
      </c>
      <c r="B9" s="76"/>
      <c r="C9" s="76"/>
      <c r="D9" s="76"/>
      <c r="E9" s="76"/>
      <c r="F9" s="76"/>
      <c r="G9" s="76"/>
      <c r="H9" s="76"/>
      <c r="I9" s="76"/>
      <c r="J9" s="76"/>
      <c r="K9" s="76"/>
      <c r="L9" s="76"/>
      <c r="M9" s="76"/>
      <c r="N9" s="76"/>
      <c r="O9" s="76"/>
      <c r="P9" s="76"/>
      <c r="Q9" s="76"/>
      <c r="R9" s="76"/>
      <c r="S9" s="76"/>
      <c r="T9" s="76"/>
    </row>
    <row r="10" spans="1:20" s="79" customFormat="1" x14ac:dyDescent="0.25"/>
    <row r="11" spans="1:20" ht="18.75" x14ac:dyDescent="0.3">
      <c r="A11" s="76" t="s">
        <v>282</v>
      </c>
      <c r="B11" s="76"/>
      <c r="C11" s="76"/>
      <c r="D11" s="76"/>
      <c r="E11" s="76"/>
      <c r="F11" s="76"/>
      <c r="G11" s="76"/>
      <c r="H11" s="76"/>
      <c r="I11" s="76"/>
      <c r="J11" s="76"/>
      <c r="K11" s="76"/>
      <c r="L11" s="76"/>
      <c r="M11" s="76"/>
      <c r="N11" s="76"/>
      <c r="O11" s="76"/>
      <c r="P11" s="76"/>
      <c r="Q11" s="76"/>
      <c r="R11" s="76"/>
      <c r="S11" s="76"/>
      <c r="T11" s="76"/>
    </row>
    <row r="12" spans="1:20" ht="18.75" x14ac:dyDescent="0.3">
      <c r="A12" s="76" t="s">
        <v>283</v>
      </c>
      <c r="B12" s="76"/>
      <c r="C12" s="76"/>
      <c r="D12" s="76"/>
      <c r="E12" s="76"/>
      <c r="F12" s="76"/>
      <c r="G12" s="76"/>
      <c r="H12" s="76"/>
      <c r="I12" s="76"/>
      <c r="J12" s="76"/>
      <c r="K12" s="76"/>
      <c r="L12" s="76"/>
      <c r="M12" s="76"/>
      <c r="N12" s="76"/>
      <c r="O12" s="76"/>
      <c r="P12" s="76"/>
      <c r="Q12" s="76"/>
      <c r="R12" s="76"/>
      <c r="S12" s="76"/>
      <c r="T12" s="76"/>
    </row>
    <row r="13" spans="1:20" s="76" customFormat="1" ht="18.75" x14ac:dyDescent="0.3">
      <c r="A13" s="76" t="s">
        <v>284</v>
      </c>
    </row>
    <row r="14" spans="1:20" s="79" customFormat="1" x14ac:dyDescent="0.25"/>
    <row r="15" spans="1:20" s="76" customFormat="1" ht="18.75" x14ac:dyDescent="0.3">
      <c r="A15" s="76" t="s">
        <v>295</v>
      </c>
    </row>
    <row r="16" spans="1:20" s="76" customFormat="1" ht="18.75" x14ac:dyDescent="0.3">
      <c r="A16" s="76" t="s">
        <v>296</v>
      </c>
    </row>
    <row r="17" spans="1:20" s="76" customFormat="1" ht="18.75" x14ac:dyDescent="0.3">
      <c r="A17" s="76" t="s">
        <v>297</v>
      </c>
    </row>
    <row r="18" spans="1:20" s="76" customFormat="1" ht="18.75" x14ac:dyDescent="0.3">
      <c r="A18" s="76" t="s">
        <v>411</v>
      </c>
    </row>
    <row r="19" spans="1:20" s="76" customFormat="1" ht="18.75" x14ac:dyDescent="0.3">
      <c r="A19" s="76" t="s">
        <v>412</v>
      </c>
    </row>
    <row r="20" spans="1:20" s="35" customFormat="1" ht="18.75" x14ac:dyDescent="0.3">
      <c r="A20" s="77"/>
      <c r="B20" s="77"/>
      <c r="C20" s="77"/>
      <c r="D20" s="77"/>
      <c r="E20" s="77"/>
      <c r="F20" s="77"/>
      <c r="G20" s="77"/>
      <c r="H20" s="77"/>
      <c r="I20" s="77"/>
      <c r="J20" s="77"/>
      <c r="K20" s="77"/>
      <c r="L20" s="77"/>
      <c r="M20" s="77"/>
      <c r="N20" s="77"/>
      <c r="O20" s="77"/>
      <c r="P20" s="77"/>
      <c r="Q20" s="77"/>
      <c r="R20" s="77"/>
      <c r="S20" s="77"/>
      <c r="T20" s="77"/>
    </row>
    <row r="21" spans="1:20" s="35" customFormat="1" ht="18.75" x14ac:dyDescent="0.3">
      <c r="A21" s="76" t="s">
        <v>298</v>
      </c>
      <c r="B21" s="76"/>
      <c r="C21" s="76"/>
      <c r="D21" s="76"/>
      <c r="E21" s="76"/>
      <c r="F21" s="76"/>
      <c r="G21" s="76"/>
      <c r="H21" s="76"/>
      <c r="I21" s="76"/>
      <c r="J21" s="76"/>
      <c r="K21" s="76"/>
      <c r="L21" s="76"/>
      <c r="M21" s="76"/>
      <c r="N21" s="76"/>
      <c r="O21" s="76"/>
      <c r="P21" s="76"/>
      <c r="Q21" s="76"/>
      <c r="R21" s="76"/>
      <c r="S21" s="76"/>
      <c r="T21" s="76"/>
    </row>
    <row r="22" spans="1:20" s="35" customFormat="1" ht="18.75" x14ac:dyDescent="0.3">
      <c r="A22" s="76" t="s">
        <v>299</v>
      </c>
      <c r="B22" s="76"/>
      <c r="C22" s="76"/>
      <c r="D22" s="76"/>
      <c r="E22" s="76"/>
      <c r="F22" s="76"/>
      <c r="G22" s="76"/>
      <c r="H22" s="76"/>
      <c r="I22" s="76"/>
      <c r="J22" s="76"/>
      <c r="K22" s="76"/>
      <c r="L22" s="76"/>
      <c r="M22" s="76"/>
      <c r="N22" s="76"/>
      <c r="O22" s="76"/>
      <c r="P22" s="76"/>
      <c r="Q22" s="76"/>
      <c r="R22" s="76"/>
      <c r="S22" s="76"/>
      <c r="T22" s="76"/>
    </row>
    <row r="23" spans="1:20" s="76" customFormat="1" ht="18.75" x14ac:dyDescent="0.3">
      <c r="A23" s="76" t="s">
        <v>300</v>
      </c>
    </row>
    <row r="24" spans="1:20" s="35" customFormat="1" ht="18.75" x14ac:dyDescent="0.3">
      <c r="A24" s="76" t="s">
        <v>301</v>
      </c>
      <c r="B24" s="76"/>
      <c r="C24" s="76"/>
      <c r="D24" s="76"/>
      <c r="E24" s="76"/>
      <c r="F24" s="76"/>
      <c r="G24" s="76"/>
      <c r="H24" s="76"/>
      <c r="I24" s="76"/>
      <c r="J24" s="76"/>
      <c r="K24" s="76"/>
      <c r="L24" s="76"/>
      <c r="M24" s="76"/>
      <c r="N24" s="76"/>
      <c r="O24" s="76"/>
      <c r="P24" s="76"/>
      <c r="Q24" s="76"/>
      <c r="R24" s="76"/>
      <c r="S24" s="76"/>
      <c r="T24" s="76"/>
    </row>
    <row r="25" spans="1:20" s="35" customFormat="1" ht="18.75" x14ac:dyDescent="0.3">
      <c r="A25" s="76" t="s">
        <v>398</v>
      </c>
      <c r="B25" s="76"/>
      <c r="C25" s="76"/>
      <c r="D25" s="76"/>
      <c r="E25" s="76"/>
      <c r="F25" s="76"/>
      <c r="G25" s="76"/>
      <c r="H25" s="76"/>
      <c r="I25" s="76"/>
      <c r="J25" s="76"/>
      <c r="K25" s="76"/>
      <c r="L25" s="76"/>
      <c r="M25" s="76"/>
      <c r="N25" s="76"/>
      <c r="O25" s="76"/>
      <c r="P25" s="76"/>
      <c r="Q25" s="76"/>
      <c r="R25" s="76"/>
      <c r="S25" s="76"/>
      <c r="T25" s="76"/>
    </row>
    <row r="26" spans="1:20" s="76" customFormat="1" ht="18.75" x14ac:dyDescent="0.3">
      <c r="A26" s="76" t="s">
        <v>399</v>
      </c>
    </row>
    <row r="27" spans="1:20" s="76" customFormat="1" ht="18.75" x14ac:dyDescent="0.3">
      <c r="A27" s="76" t="s">
        <v>400</v>
      </c>
    </row>
    <row r="28" spans="1:20" s="76" customFormat="1" ht="18.75" x14ac:dyDescent="0.3">
      <c r="A28" s="76" t="s">
        <v>401</v>
      </c>
    </row>
    <row r="29" spans="1:20" s="76" customFormat="1" ht="18.75" x14ac:dyDescent="0.3">
      <c r="A29" s="76" t="s">
        <v>402</v>
      </c>
    </row>
    <row r="30" spans="1:20" s="44" customFormat="1" x14ac:dyDescent="0.25"/>
    <row r="31" spans="1:20" s="76" customFormat="1" ht="18.75" x14ac:dyDescent="0.3">
      <c r="A31" s="76" t="s">
        <v>403</v>
      </c>
    </row>
    <row r="32" spans="1:20" s="76" customFormat="1" ht="18.75" x14ac:dyDescent="0.3">
      <c r="A32" s="76" t="s">
        <v>292</v>
      </c>
    </row>
    <row r="33" spans="1:1" s="76" customFormat="1" ht="18.75" x14ac:dyDescent="0.3">
      <c r="A33" s="76" t="s">
        <v>291</v>
      </c>
    </row>
    <row r="34" spans="1:1" s="76" customFormat="1" ht="18.75" x14ac:dyDescent="0.3">
      <c r="A34" s="76" t="s">
        <v>285</v>
      </c>
    </row>
    <row r="35" spans="1:1" s="76" customFormat="1" ht="18.75" x14ac:dyDescent="0.3">
      <c r="A35" s="76" t="s">
        <v>287</v>
      </c>
    </row>
    <row r="36" spans="1:1" s="76" customFormat="1" ht="18.75" x14ac:dyDescent="0.3">
      <c r="A36" s="76" t="s">
        <v>288</v>
      </c>
    </row>
    <row r="37" spans="1:1" s="76" customFormat="1" ht="18.75" x14ac:dyDescent="0.3">
      <c r="A37" s="76" t="s">
        <v>293</v>
      </c>
    </row>
    <row r="38" spans="1:1" s="76" customFormat="1" ht="18.75" x14ac:dyDescent="0.3">
      <c r="A38" s="76" t="s">
        <v>425</v>
      </c>
    </row>
    <row r="39" spans="1:1" s="76" customFormat="1" ht="18.75" x14ac:dyDescent="0.3">
      <c r="A39" s="76" t="s">
        <v>426</v>
      </c>
    </row>
    <row r="41" spans="1:1" s="76" customFormat="1" ht="18.75" x14ac:dyDescent="0.3">
      <c r="A41" s="76" t="s">
        <v>294</v>
      </c>
    </row>
    <row r="43" spans="1:1" s="76" customFormat="1" ht="18.75" x14ac:dyDescent="0.3">
      <c r="A43" s="76" t="s">
        <v>419</v>
      </c>
    </row>
    <row r="45" spans="1:1" x14ac:dyDescent="0.25">
      <c r="A45" s="43"/>
    </row>
  </sheetData>
  <sheetProtection password="C81A" sheet="1" objects="1" scenarios="1" selectLockedCells="1"/>
  <mergeCells count="38">
    <mergeCell ref="A16:XFD16"/>
    <mergeCell ref="A17:XFD17"/>
    <mergeCell ref="A11:T11"/>
    <mergeCell ref="A8:T8"/>
    <mergeCell ref="A12:T12"/>
    <mergeCell ref="A13:XFD13"/>
    <mergeCell ref="A10:XFD10"/>
    <mergeCell ref="A15:XFD15"/>
    <mergeCell ref="A14:XFD14"/>
    <mergeCell ref="A9:T9"/>
    <mergeCell ref="A1:T3"/>
    <mergeCell ref="A5:T5"/>
    <mergeCell ref="A4:XFD4"/>
    <mergeCell ref="A6:T6"/>
    <mergeCell ref="A7:T7"/>
    <mergeCell ref="A18:XFD18"/>
    <mergeCell ref="A19:XFD19"/>
    <mergeCell ref="A23:XFD23"/>
    <mergeCell ref="A31:XFD31"/>
    <mergeCell ref="A32:XFD32"/>
    <mergeCell ref="A21:T21"/>
    <mergeCell ref="A20:T20"/>
    <mergeCell ref="A22:T22"/>
    <mergeCell ref="A24:T24"/>
    <mergeCell ref="A25:T25"/>
    <mergeCell ref="A26:XFD26"/>
    <mergeCell ref="A27:XFD27"/>
    <mergeCell ref="A28:XFD28"/>
    <mergeCell ref="A29:XFD29"/>
    <mergeCell ref="A43:XFD43"/>
    <mergeCell ref="A41:XFD41"/>
    <mergeCell ref="A38:XFD38"/>
    <mergeCell ref="A39:XFD39"/>
    <mergeCell ref="A33:XFD33"/>
    <mergeCell ref="A34:XFD34"/>
    <mergeCell ref="A35:XFD35"/>
    <mergeCell ref="A36:XFD36"/>
    <mergeCell ref="A37:XFD37"/>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56"/>
  <sheetViews>
    <sheetView workbookViewId="0">
      <pane ySplit="1" topLeftCell="A2" activePane="bottomLeft" state="frozen"/>
      <selection pane="bottomLeft" activeCell="D2" sqref="D2"/>
    </sheetView>
  </sheetViews>
  <sheetFormatPr defaultRowHeight="15" x14ac:dyDescent="0.25"/>
  <cols>
    <col min="1" max="1" width="15.5703125" style="3" bestFit="1" customWidth="1"/>
    <col min="2" max="3" width="6" style="4" bestFit="1" customWidth="1"/>
    <col min="4" max="4" width="20.28515625" style="2" bestFit="1" customWidth="1"/>
    <col min="5" max="5" width="23.140625" style="5" bestFit="1" customWidth="1"/>
    <col min="6" max="6" width="27.28515625" style="4" bestFit="1" customWidth="1"/>
    <col min="7" max="7" width="9" style="1" bestFit="1" customWidth="1"/>
    <col min="8" max="16384" width="9.140625" style="1"/>
  </cols>
  <sheetData>
    <row r="1" spans="1:26" s="39" customFormat="1" x14ac:dyDescent="0.25">
      <c r="A1" s="6" t="s">
        <v>0</v>
      </c>
      <c r="B1" s="6" t="s">
        <v>4</v>
      </c>
      <c r="C1" s="6" t="s">
        <v>247</v>
      </c>
      <c r="D1" s="6" t="s">
        <v>244</v>
      </c>
      <c r="E1" s="6" t="s">
        <v>243</v>
      </c>
      <c r="F1" s="7" t="s">
        <v>262</v>
      </c>
      <c r="G1" s="37"/>
      <c r="H1" s="36"/>
      <c r="I1" s="37"/>
      <c r="J1" s="37"/>
      <c r="K1" s="37"/>
      <c r="L1" s="37"/>
      <c r="M1" s="37"/>
      <c r="N1" s="37"/>
      <c r="O1" s="37"/>
      <c r="P1" s="38"/>
      <c r="Q1" s="38"/>
      <c r="R1" s="38"/>
      <c r="S1" s="38"/>
      <c r="T1" s="38"/>
      <c r="U1" s="38"/>
      <c r="V1" s="38"/>
      <c r="W1" s="38"/>
      <c r="X1" s="38"/>
      <c r="Y1" s="38"/>
      <c r="Z1" s="38"/>
    </row>
    <row r="2" spans="1:26" x14ac:dyDescent="0.25">
      <c r="A2" s="8" t="s">
        <v>238</v>
      </c>
      <c r="B2" s="9">
        <v>50</v>
      </c>
      <c r="C2" s="9">
        <v>25</v>
      </c>
      <c r="D2" s="10">
        <v>99</v>
      </c>
      <c r="E2" s="11">
        <v>0</v>
      </c>
      <c r="F2" s="9">
        <v>99</v>
      </c>
    </row>
    <row r="3" spans="1:26" x14ac:dyDescent="0.25">
      <c r="A3" s="8" t="s">
        <v>235</v>
      </c>
      <c r="B3" s="9">
        <v>200</v>
      </c>
      <c r="C3" s="9">
        <v>100</v>
      </c>
      <c r="D3" s="10">
        <v>99</v>
      </c>
      <c r="E3" s="11">
        <v>0</v>
      </c>
      <c r="F3" s="9">
        <v>99</v>
      </c>
    </row>
    <row r="4" spans="1:26" x14ac:dyDescent="0.25">
      <c r="A4" s="8" t="s">
        <v>246</v>
      </c>
      <c r="B4" s="9">
        <v>500</v>
      </c>
      <c r="C4" s="9">
        <v>1000</v>
      </c>
      <c r="D4" s="10">
        <v>99</v>
      </c>
      <c r="E4" s="11">
        <v>0</v>
      </c>
      <c r="F4" s="9">
        <v>99</v>
      </c>
    </row>
    <row r="5" spans="1:26" x14ac:dyDescent="0.25">
      <c r="A5" s="8" t="s">
        <v>233</v>
      </c>
      <c r="B5" s="9" t="s">
        <v>266</v>
      </c>
      <c r="C5" s="9">
        <v>1</v>
      </c>
      <c r="D5" s="10">
        <v>99</v>
      </c>
      <c r="E5" s="11">
        <v>0</v>
      </c>
      <c r="F5" s="9">
        <v>99</v>
      </c>
    </row>
    <row r="6" spans="1:26" x14ac:dyDescent="0.25">
      <c r="A6" s="8" t="s">
        <v>237</v>
      </c>
      <c r="B6" s="9">
        <v>150</v>
      </c>
      <c r="C6" s="9">
        <f>B6/2</f>
        <v>75</v>
      </c>
      <c r="D6" s="10">
        <v>99</v>
      </c>
      <c r="E6" s="11">
        <v>0</v>
      </c>
      <c r="F6" s="9">
        <v>99</v>
      </c>
    </row>
    <row r="7" spans="1:26" x14ac:dyDescent="0.25">
      <c r="A7" s="8" t="s">
        <v>239</v>
      </c>
      <c r="B7" s="9">
        <v>300</v>
      </c>
      <c r="C7" s="9">
        <f t="shared" ref="C7:C14" si="0">B7/2</f>
        <v>150</v>
      </c>
      <c r="D7" s="10">
        <v>99</v>
      </c>
      <c r="E7" s="11">
        <v>0</v>
      </c>
      <c r="F7" s="9">
        <v>99</v>
      </c>
    </row>
    <row r="8" spans="1:26" x14ac:dyDescent="0.25">
      <c r="A8" s="8" t="s">
        <v>230</v>
      </c>
      <c r="B8" s="9">
        <v>50</v>
      </c>
      <c r="C8" s="9">
        <f t="shared" si="0"/>
        <v>25</v>
      </c>
      <c r="D8" s="10">
        <v>99</v>
      </c>
      <c r="E8" s="11">
        <v>0</v>
      </c>
      <c r="F8" s="9">
        <v>99</v>
      </c>
    </row>
    <row r="9" spans="1:26" x14ac:dyDescent="0.25">
      <c r="A9" s="8" t="s">
        <v>234</v>
      </c>
      <c r="B9" s="9">
        <v>50</v>
      </c>
      <c r="C9" s="9">
        <f t="shared" si="0"/>
        <v>25</v>
      </c>
      <c r="D9" s="10">
        <v>99</v>
      </c>
      <c r="E9" s="11">
        <v>0</v>
      </c>
      <c r="F9" s="9">
        <v>99</v>
      </c>
    </row>
    <row r="10" spans="1:26" x14ac:dyDescent="0.25">
      <c r="A10" s="8" t="s">
        <v>245</v>
      </c>
      <c r="B10" s="9">
        <v>50</v>
      </c>
      <c r="C10" s="9">
        <f t="shared" si="0"/>
        <v>25</v>
      </c>
      <c r="D10" s="10">
        <v>99</v>
      </c>
      <c r="E10" s="11">
        <v>0</v>
      </c>
      <c r="F10" s="9">
        <v>99</v>
      </c>
    </row>
    <row r="11" spans="1:26" x14ac:dyDescent="0.25">
      <c r="A11" s="8" t="s">
        <v>240</v>
      </c>
      <c r="B11" s="9">
        <v>100</v>
      </c>
      <c r="C11" s="9">
        <f t="shared" si="0"/>
        <v>50</v>
      </c>
      <c r="D11" s="10">
        <v>99</v>
      </c>
      <c r="E11" s="11">
        <v>0</v>
      </c>
      <c r="F11" s="9">
        <v>99</v>
      </c>
    </row>
    <row r="12" spans="1:26" x14ac:dyDescent="0.25">
      <c r="A12" s="8" t="s">
        <v>248</v>
      </c>
      <c r="B12" s="9">
        <v>100</v>
      </c>
      <c r="C12" s="9">
        <f t="shared" si="0"/>
        <v>50</v>
      </c>
      <c r="D12" s="10">
        <v>99</v>
      </c>
      <c r="E12" s="11">
        <v>0</v>
      </c>
      <c r="F12" s="9">
        <v>99</v>
      </c>
    </row>
    <row r="13" spans="1:26" x14ac:dyDescent="0.25">
      <c r="A13" s="8" t="s">
        <v>231</v>
      </c>
      <c r="B13" s="9">
        <v>150</v>
      </c>
      <c r="C13" s="9">
        <f t="shared" si="0"/>
        <v>75</v>
      </c>
      <c r="D13" s="10">
        <v>99</v>
      </c>
      <c r="E13" s="11">
        <v>0</v>
      </c>
      <c r="F13" s="9">
        <v>99</v>
      </c>
    </row>
    <row r="14" spans="1:26" x14ac:dyDescent="0.25">
      <c r="A14" s="8" t="s">
        <v>252</v>
      </c>
      <c r="B14" s="9">
        <v>100</v>
      </c>
      <c r="C14" s="9">
        <f t="shared" si="0"/>
        <v>50</v>
      </c>
      <c r="D14" s="10">
        <v>99</v>
      </c>
      <c r="E14" s="11">
        <v>0</v>
      </c>
      <c r="F14" s="9">
        <v>99</v>
      </c>
    </row>
    <row r="15" spans="1:26" x14ac:dyDescent="0.25">
      <c r="A15" s="8" t="s">
        <v>242</v>
      </c>
      <c r="B15" s="9">
        <v>80</v>
      </c>
      <c r="C15" s="9">
        <v>30</v>
      </c>
      <c r="D15" s="10">
        <v>99</v>
      </c>
      <c r="E15" s="11">
        <v>0</v>
      </c>
      <c r="F15" s="9">
        <v>99</v>
      </c>
      <c r="I15" s="33"/>
    </row>
    <row r="16" spans="1:26" x14ac:dyDescent="0.25">
      <c r="A16" s="8" t="s">
        <v>214</v>
      </c>
      <c r="B16" s="9">
        <v>300</v>
      </c>
      <c r="C16" s="9">
        <v>1000</v>
      </c>
      <c r="D16" s="10">
        <v>99</v>
      </c>
      <c r="E16" s="11">
        <v>0</v>
      </c>
      <c r="F16" s="9">
        <v>99</v>
      </c>
    </row>
    <row r="17" spans="1:7" x14ac:dyDescent="0.25">
      <c r="A17" s="8" t="s">
        <v>232</v>
      </c>
      <c r="B17" s="9" t="s">
        <v>266</v>
      </c>
      <c r="C17" s="9">
        <v>50</v>
      </c>
      <c r="D17" s="10">
        <v>99</v>
      </c>
      <c r="E17" s="11">
        <v>0</v>
      </c>
      <c r="F17" s="9">
        <v>99</v>
      </c>
    </row>
    <row r="18" spans="1:7" x14ac:dyDescent="0.25">
      <c r="A18" s="8" t="s">
        <v>241</v>
      </c>
      <c r="B18" s="9">
        <v>800</v>
      </c>
      <c r="C18" s="9">
        <v>400</v>
      </c>
      <c r="D18" s="10">
        <v>99</v>
      </c>
      <c r="E18" s="11">
        <v>0</v>
      </c>
      <c r="F18" s="9">
        <v>99</v>
      </c>
    </row>
    <row r="19" spans="1:7" x14ac:dyDescent="0.25">
      <c r="A19" s="8" t="s">
        <v>198</v>
      </c>
      <c r="B19" s="9" t="s">
        <v>266</v>
      </c>
      <c r="C19" s="9">
        <v>1</v>
      </c>
      <c r="D19" s="10">
        <v>3</v>
      </c>
      <c r="E19" s="11">
        <v>0</v>
      </c>
      <c r="F19" s="9">
        <v>3</v>
      </c>
      <c r="G19" s="33" t="s">
        <v>286</v>
      </c>
    </row>
    <row r="20" spans="1:7" x14ac:dyDescent="0.25">
      <c r="A20" s="8" t="s">
        <v>62</v>
      </c>
      <c r="B20" s="9">
        <v>200</v>
      </c>
      <c r="C20" s="9">
        <v>100</v>
      </c>
      <c r="D20" s="10">
        <v>99</v>
      </c>
      <c r="E20" s="11">
        <v>0</v>
      </c>
      <c r="F20" s="9">
        <v>99</v>
      </c>
    </row>
    <row r="21" spans="1:7" x14ac:dyDescent="0.25">
      <c r="A21" s="8" t="s">
        <v>63</v>
      </c>
      <c r="B21" s="9">
        <v>500</v>
      </c>
      <c r="C21" s="9">
        <v>250</v>
      </c>
      <c r="D21" s="10">
        <v>99</v>
      </c>
      <c r="E21" s="11">
        <v>0</v>
      </c>
      <c r="F21" s="9">
        <v>99</v>
      </c>
    </row>
    <row r="22" spans="1:7" x14ac:dyDescent="0.25">
      <c r="A22" s="8" t="s">
        <v>64</v>
      </c>
      <c r="B22" s="9" t="s">
        <v>266</v>
      </c>
      <c r="C22" s="9">
        <v>1500</v>
      </c>
      <c r="D22" s="10">
        <v>99</v>
      </c>
      <c r="E22" s="11">
        <v>0</v>
      </c>
      <c r="F22" s="9">
        <v>99</v>
      </c>
    </row>
    <row r="23" spans="1:7" x14ac:dyDescent="0.25">
      <c r="A23" s="8" t="s">
        <v>253</v>
      </c>
      <c r="B23" s="9" t="s">
        <v>266</v>
      </c>
      <c r="C23" s="9">
        <v>125</v>
      </c>
      <c r="D23" s="10">
        <v>1</v>
      </c>
      <c r="E23" s="11">
        <v>0</v>
      </c>
      <c r="F23" s="9">
        <v>1</v>
      </c>
    </row>
    <row r="24" spans="1:7" x14ac:dyDescent="0.25">
      <c r="A24" s="8" t="s">
        <v>1</v>
      </c>
      <c r="B24" s="9">
        <v>320</v>
      </c>
      <c r="C24" s="9">
        <v>160</v>
      </c>
      <c r="D24" s="10">
        <v>2</v>
      </c>
      <c r="E24" s="11">
        <v>0</v>
      </c>
      <c r="F24" s="9">
        <v>2</v>
      </c>
    </row>
    <row r="25" spans="1:7" x14ac:dyDescent="0.25">
      <c r="A25" s="8" t="s">
        <v>2</v>
      </c>
      <c r="B25" s="9">
        <v>500</v>
      </c>
      <c r="C25" s="9">
        <v>250</v>
      </c>
      <c r="D25" s="10">
        <v>2</v>
      </c>
      <c r="E25" s="11">
        <v>0</v>
      </c>
      <c r="F25" s="9">
        <v>2</v>
      </c>
    </row>
    <row r="26" spans="1:7" x14ac:dyDescent="0.25">
      <c r="A26" s="8" t="s">
        <v>3</v>
      </c>
      <c r="B26" s="9">
        <v>950</v>
      </c>
      <c r="C26" s="9">
        <f>B26/2</f>
        <v>475</v>
      </c>
      <c r="D26" s="10">
        <v>2</v>
      </c>
      <c r="E26" s="11">
        <v>0</v>
      </c>
      <c r="F26" s="9">
        <v>2</v>
      </c>
    </row>
    <row r="27" spans="1:7" x14ac:dyDescent="0.25">
      <c r="A27" s="8" t="s">
        <v>8</v>
      </c>
      <c r="B27" s="9">
        <v>2300</v>
      </c>
      <c r="C27" s="9">
        <f>B27/2</f>
        <v>1150</v>
      </c>
      <c r="D27" s="10">
        <v>2</v>
      </c>
      <c r="E27" s="11">
        <v>0</v>
      </c>
      <c r="F27" s="9">
        <v>2</v>
      </c>
    </row>
    <row r="28" spans="1:7" x14ac:dyDescent="0.25">
      <c r="A28" s="8" t="s">
        <v>11</v>
      </c>
      <c r="B28" s="9">
        <v>6000</v>
      </c>
      <c r="C28" s="9">
        <f>B28/2</f>
        <v>3000</v>
      </c>
      <c r="D28" s="10">
        <v>2</v>
      </c>
      <c r="E28" s="11">
        <v>0</v>
      </c>
      <c r="F28" s="9">
        <v>2</v>
      </c>
      <c r="G28" s="33" t="s">
        <v>286</v>
      </c>
    </row>
    <row r="29" spans="1:7" x14ac:dyDescent="0.25">
      <c r="A29" s="8" t="s">
        <v>15</v>
      </c>
      <c r="B29" s="9">
        <v>17000</v>
      </c>
      <c r="C29" s="9">
        <f>B29/2</f>
        <v>8500</v>
      </c>
      <c r="D29" s="10">
        <v>2</v>
      </c>
      <c r="E29" s="11">
        <v>0</v>
      </c>
      <c r="F29" s="9">
        <v>2</v>
      </c>
    </row>
    <row r="30" spans="1:7" x14ac:dyDescent="0.25">
      <c r="A30" s="8" t="s">
        <v>6</v>
      </c>
      <c r="B30" s="9">
        <v>300</v>
      </c>
      <c r="C30" s="9">
        <v>650</v>
      </c>
      <c r="D30" s="10">
        <v>2</v>
      </c>
      <c r="E30" s="11">
        <v>0</v>
      </c>
      <c r="F30" s="9">
        <v>2</v>
      </c>
    </row>
    <row r="31" spans="1:7" x14ac:dyDescent="0.25">
      <c r="A31" s="8" t="s">
        <v>7</v>
      </c>
      <c r="B31" s="9">
        <v>700</v>
      </c>
      <c r="C31" s="9">
        <v>850</v>
      </c>
      <c r="D31" s="10">
        <v>2</v>
      </c>
      <c r="E31" s="11">
        <v>0</v>
      </c>
      <c r="F31" s="9">
        <v>2</v>
      </c>
    </row>
    <row r="32" spans="1:7" x14ac:dyDescent="0.25">
      <c r="A32" s="8" t="s">
        <v>9</v>
      </c>
      <c r="B32" s="9">
        <v>1000</v>
      </c>
      <c r="C32" s="9">
        <v>1400</v>
      </c>
      <c r="D32" s="10">
        <v>2</v>
      </c>
      <c r="E32" s="11">
        <v>0</v>
      </c>
      <c r="F32" s="9">
        <v>2</v>
      </c>
    </row>
    <row r="33" spans="1:7" x14ac:dyDescent="0.25">
      <c r="A33" s="8" t="s">
        <v>10</v>
      </c>
      <c r="B33" s="9">
        <v>2000</v>
      </c>
      <c r="C33" s="9">
        <v>1900</v>
      </c>
      <c r="D33" s="10">
        <v>2</v>
      </c>
      <c r="E33" s="11">
        <v>0</v>
      </c>
      <c r="F33" s="9">
        <v>2</v>
      </c>
    </row>
    <row r="34" spans="1:7" x14ac:dyDescent="0.25">
      <c r="A34" s="8" t="s">
        <v>12</v>
      </c>
      <c r="B34" s="9">
        <v>9000</v>
      </c>
      <c r="C34" s="9">
        <v>3500</v>
      </c>
      <c r="D34" s="10">
        <v>2</v>
      </c>
      <c r="E34" s="11">
        <v>0</v>
      </c>
      <c r="F34" s="9">
        <v>2</v>
      </c>
    </row>
    <row r="35" spans="1:7" x14ac:dyDescent="0.25">
      <c r="A35" s="8" t="s">
        <v>13</v>
      </c>
      <c r="B35" s="9">
        <v>12000</v>
      </c>
      <c r="C35" s="9">
        <v>4750</v>
      </c>
      <c r="D35" s="10">
        <v>2</v>
      </c>
      <c r="E35" s="11">
        <v>0</v>
      </c>
      <c r="F35" s="9">
        <v>2</v>
      </c>
    </row>
    <row r="36" spans="1:7" x14ac:dyDescent="0.25">
      <c r="A36" s="8" t="s">
        <v>14</v>
      </c>
      <c r="B36" s="9">
        <v>16000</v>
      </c>
      <c r="C36" s="9">
        <v>6500</v>
      </c>
      <c r="D36" s="10">
        <v>2</v>
      </c>
      <c r="E36" s="11">
        <v>0</v>
      </c>
      <c r="F36" s="9">
        <v>2</v>
      </c>
    </row>
    <row r="37" spans="1:7" x14ac:dyDescent="0.25">
      <c r="A37" s="8" t="s">
        <v>16</v>
      </c>
      <c r="B37" s="9" t="s">
        <v>266</v>
      </c>
      <c r="C37" s="9">
        <v>15000</v>
      </c>
      <c r="D37" s="10">
        <v>1</v>
      </c>
      <c r="E37" s="11">
        <v>0</v>
      </c>
      <c r="F37" s="9">
        <v>1</v>
      </c>
    </row>
    <row r="38" spans="1:7" x14ac:dyDescent="0.25">
      <c r="A38" s="8" t="s">
        <v>17</v>
      </c>
      <c r="B38" s="9" t="s">
        <v>266</v>
      </c>
      <c r="C38" s="9">
        <v>20000</v>
      </c>
      <c r="D38" s="10">
        <v>1</v>
      </c>
      <c r="E38" s="11">
        <v>0</v>
      </c>
      <c r="F38" s="9">
        <v>1</v>
      </c>
    </row>
    <row r="39" spans="1:7" x14ac:dyDescent="0.25">
      <c r="A39" s="8" t="s">
        <v>27</v>
      </c>
      <c r="B39" s="9">
        <v>330</v>
      </c>
      <c r="C39" s="9">
        <f>B39/2</f>
        <v>165</v>
      </c>
      <c r="D39" s="10">
        <v>2</v>
      </c>
      <c r="E39" s="11">
        <v>0</v>
      </c>
      <c r="F39" s="9">
        <v>2</v>
      </c>
    </row>
    <row r="40" spans="1:7" x14ac:dyDescent="0.25">
      <c r="A40" s="8" t="s">
        <v>28</v>
      </c>
      <c r="B40" s="9">
        <v>660</v>
      </c>
      <c r="C40" s="9">
        <f t="shared" ref="C40:C48" si="1">B40/2</f>
        <v>330</v>
      </c>
      <c r="D40" s="10">
        <v>2</v>
      </c>
      <c r="E40" s="11">
        <v>0</v>
      </c>
      <c r="F40" s="9">
        <v>2</v>
      </c>
    </row>
    <row r="41" spans="1:7" x14ac:dyDescent="0.25">
      <c r="A41" s="8" t="s">
        <v>29</v>
      </c>
      <c r="B41" s="9">
        <v>1300</v>
      </c>
      <c r="C41" s="9">
        <f t="shared" si="1"/>
        <v>650</v>
      </c>
      <c r="D41" s="10">
        <v>2</v>
      </c>
      <c r="E41" s="11">
        <v>0</v>
      </c>
      <c r="F41" s="9">
        <v>2</v>
      </c>
      <c r="G41" s="33" t="s">
        <v>286</v>
      </c>
    </row>
    <row r="42" spans="1:7" x14ac:dyDescent="0.25">
      <c r="A42" s="8" t="s">
        <v>30</v>
      </c>
      <c r="B42" s="9" t="s">
        <v>266</v>
      </c>
      <c r="C42" s="9">
        <v>950</v>
      </c>
      <c r="D42" s="10">
        <v>2</v>
      </c>
      <c r="E42" s="11">
        <v>0</v>
      </c>
      <c r="F42" s="9">
        <v>2</v>
      </c>
      <c r="G42" s="33" t="s">
        <v>286</v>
      </c>
    </row>
    <row r="43" spans="1:7" x14ac:dyDescent="0.25">
      <c r="A43" s="8" t="s">
        <v>31</v>
      </c>
      <c r="B43" s="9">
        <v>3780</v>
      </c>
      <c r="C43" s="9">
        <f t="shared" si="1"/>
        <v>1890</v>
      </c>
      <c r="D43" s="10">
        <v>2</v>
      </c>
      <c r="E43" s="11">
        <v>0</v>
      </c>
      <c r="F43" s="9">
        <v>2</v>
      </c>
    </row>
    <row r="44" spans="1:7" x14ac:dyDescent="0.25">
      <c r="A44" s="8" t="s">
        <v>32</v>
      </c>
      <c r="B44" s="9">
        <v>4000</v>
      </c>
      <c r="C44" s="9">
        <f t="shared" si="1"/>
        <v>2000</v>
      </c>
      <c r="D44" s="10">
        <v>2</v>
      </c>
      <c r="E44" s="11">
        <v>0</v>
      </c>
      <c r="F44" s="9">
        <v>2</v>
      </c>
    </row>
    <row r="45" spans="1:7" x14ac:dyDescent="0.25">
      <c r="A45" s="8" t="s">
        <v>33</v>
      </c>
      <c r="B45" s="9">
        <v>4700</v>
      </c>
      <c r="C45" s="9">
        <f t="shared" si="1"/>
        <v>2350</v>
      </c>
      <c r="D45" s="10">
        <v>2</v>
      </c>
      <c r="E45" s="11">
        <v>0</v>
      </c>
      <c r="F45" s="9">
        <v>2</v>
      </c>
      <c r="G45" s="33" t="s">
        <v>286</v>
      </c>
    </row>
    <row r="46" spans="1:7" x14ac:dyDescent="0.25">
      <c r="A46" s="8" t="s">
        <v>34</v>
      </c>
      <c r="B46" s="9">
        <v>5190</v>
      </c>
      <c r="C46" s="9">
        <f t="shared" si="1"/>
        <v>2595</v>
      </c>
      <c r="D46" s="10">
        <v>2</v>
      </c>
      <c r="E46" s="11">
        <v>0</v>
      </c>
      <c r="F46" s="9">
        <v>2</v>
      </c>
      <c r="G46" s="33" t="s">
        <v>286</v>
      </c>
    </row>
    <row r="47" spans="1:7" x14ac:dyDescent="0.25">
      <c r="A47" s="8" t="s">
        <v>35</v>
      </c>
      <c r="B47" s="9">
        <v>8900</v>
      </c>
      <c r="C47" s="9">
        <f t="shared" si="1"/>
        <v>4450</v>
      </c>
      <c r="D47" s="10">
        <v>2</v>
      </c>
      <c r="E47" s="11">
        <v>0</v>
      </c>
      <c r="F47" s="9">
        <v>2</v>
      </c>
      <c r="G47" s="33" t="s">
        <v>286</v>
      </c>
    </row>
    <row r="48" spans="1:7" x14ac:dyDescent="0.25">
      <c r="A48" s="8" t="s">
        <v>36</v>
      </c>
      <c r="B48" s="9">
        <v>9340</v>
      </c>
      <c r="C48" s="9">
        <f t="shared" si="1"/>
        <v>4670</v>
      </c>
      <c r="D48" s="10">
        <v>2</v>
      </c>
      <c r="E48" s="11">
        <v>0</v>
      </c>
      <c r="F48" s="9">
        <v>2</v>
      </c>
    </row>
    <row r="49" spans="1:7" x14ac:dyDescent="0.25">
      <c r="A49" s="8" t="s">
        <v>41</v>
      </c>
      <c r="B49" s="9">
        <v>50000</v>
      </c>
      <c r="C49" s="9">
        <v>1</v>
      </c>
      <c r="D49" s="10">
        <v>1</v>
      </c>
      <c r="E49" s="11">
        <v>0</v>
      </c>
      <c r="F49" s="9">
        <v>1</v>
      </c>
    </row>
    <row r="50" spans="1:7" x14ac:dyDescent="0.25">
      <c r="A50" s="8" t="s">
        <v>37</v>
      </c>
      <c r="B50" s="9">
        <v>14000</v>
      </c>
      <c r="C50" s="9">
        <v>7000</v>
      </c>
      <c r="D50" s="10">
        <v>2</v>
      </c>
      <c r="E50" s="11">
        <v>0</v>
      </c>
      <c r="F50" s="9">
        <v>2</v>
      </c>
    </row>
    <row r="51" spans="1:7" x14ac:dyDescent="0.25">
      <c r="A51" s="8" t="s">
        <v>38</v>
      </c>
      <c r="B51" s="9" t="s">
        <v>266</v>
      </c>
      <c r="C51" s="9">
        <v>9500</v>
      </c>
      <c r="D51" s="10">
        <v>1</v>
      </c>
      <c r="E51" s="11">
        <v>0</v>
      </c>
      <c r="F51" s="9">
        <v>1</v>
      </c>
    </row>
    <row r="52" spans="1:7" x14ac:dyDescent="0.25">
      <c r="A52" s="8" t="s">
        <v>39</v>
      </c>
      <c r="B52" s="9" t="s">
        <v>266</v>
      </c>
      <c r="C52" s="9">
        <v>14500</v>
      </c>
      <c r="D52" s="10">
        <v>1</v>
      </c>
      <c r="E52" s="11">
        <v>0</v>
      </c>
      <c r="F52" s="9">
        <v>1</v>
      </c>
    </row>
    <row r="53" spans="1:7" x14ac:dyDescent="0.25">
      <c r="A53" s="8" t="s">
        <v>40</v>
      </c>
      <c r="B53" s="9" t="s">
        <v>266</v>
      </c>
      <c r="C53" s="9">
        <v>19500</v>
      </c>
      <c r="D53" s="10">
        <v>1</v>
      </c>
      <c r="E53" s="11">
        <v>0</v>
      </c>
      <c r="F53" s="9">
        <v>1</v>
      </c>
      <c r="G53" s="33" t="s">
        <v>286</v>
      </c>
    </row>
    <row r="54" spans="1:7" x14ac:dyDescent="0.25">
      <c r="A54" s="8" t="s">
        <v>42</v>
      </c>
      <c r="B54" s="9">
        <v>880</v>
      </c>
      <c r="C54" s="9">
        <f>B54/2</f>
        <v>440</v>
      </c>
      <c r="D54" s="10">
        <v>2</v>
      </c>
      <c r="E54" s="11">
        <v>0</v>
      </c>
      <c r="F54" s="9">
        <v>2</v>
      </c>
      <c r="G54" s="33" t="s">
        <v>286</v>
      </c>
    </row>
    <row r="55" spans="1:7" x14ac:dyDescent="0.25">
      <c r="A55" s="8" t="s">
        <v>43</v>
      </c>
      <c r="B55" s="9">
        <v>1100</v>
      </c>
      <c r="C55" s="9">
        <f>B55/2</f>
        <v>550</v>
      </c>
      <c r="D55" s="10">
        <v>2</v>
      </c>
      <c r="E55" s="11">
        <v>0</v>
      </c>
      <c r="F55" s="9">
        <v>2</v>
      </c>
    </row>
    <row r="56" spans="1:7" x14ac:dyDescent="0.25">
      <c r="A56" s="8" t="s">
        <v>44</v>
      </c>
      <c r="B56" s="9">
        <v>1600</v>
      </c>
      <c r="C56" s="9">
        <f t="shared" ref="C56:C61" si="2">B56/2</f>
        <v>800</v>
      </c>
      <c r="D56" s="10">
        <v>2</v>
      </c>
      <c r="E56" s="11">
        <v>0</v>
      </c>
      <c r="F56" s="9">
        <v>2</v>
      </c>
    </row>
    <row r="57" spans="1:7" x14ac:dyDescent="0.25">
      <c r="A57" s="8" t="s">
        <v>45</v>
      </c>
      <c r="B57" s="9">
        <v>2430</v>
      </c>
      <c r="C57" s="9">
        <f t="shared" si="2"/>
        <v>1215</v>
      </c>
      <c r="D57" s="10">
        <v>2</v>
      </c>
      <c r="E57" s="11">
        <v>0</v>
      </c>
      <c r="F57" s="9">
        <v>2</v>
      </c>
    </row>
    <row r="58" spans="1:7" x14ac:dyDescent="0.25">
      <c r="A58" s="8" t="s">
        <v>46</v>
      </c>
      <c r="B58" s="9">
        <v>3580</v>
      </c>
      <c r="C58" s="9">
        <f t="shared" si="2"/>
        <v>1790</v>
      </c>
      <c r="D58" s="10">
        <v>2</v>
      </c>
      <c r="E58" s="11">
        <v>0</v>
      </c>
      <c r="F58" s="9">
        <v>2</v>
      </c>
      <c r="G58" s="33" t="s">
        <v>286</v>
      </c>
    </row>
    <row r="59" spans="1:7" x14ac:dyDescent="0.25">
      <c r="A59" s="8" t="s">
        <v>47</v>
      </c>
      <c r="B59" s="9">
        <v>4700</v>
      </c>
      <c r="C59" s="9">
        <f t="shared" si="2"/>
        <v>2350</v>
      </c>
      <c r="D59" s="10">
        <v>2</v>
      </c>
      <c r="E59" s="11">
        <v>0</v>
      </c>
      <c r="F59" s="9">
        <v>2</v>
      </c>
      <c r="G59" s="33" t="s">
        <v>286</v>
      </c>
    </row>
    <row r="60" spans="1:7" x14ac:dyDescent="0.25">
      <c r="A60" s="8" t="s">
        <v>48</v>
      </c>
      <c r="B60" s="9">
        <v>6000</v>
      </c>
      <c r="C60" s="9">
        <f t="shared" si="2"/>
        <v>3000</v>
      </c>
      <c r="D60" s="10">
        <v>2</v>
      </c>
      <c r="E60" s="11">
        <v>0</v>
      </c>
      <c r="F60" s="9">
        <v>2</v>
      </c>
      <c r="G60" s="33" t="s">
        <v>286</v>
      </c>
    </row>
    <row r="61" spans="1:7" x14ac:dyDescent="0.25">
      <c r="A61" s="8" t="s">
        <v>49</v>
      </c>
      <c r="B61" s="9">
        <v>11000</v>
      </c>
      <c r="C61" s="9">
        <f t="shared" si="2"/>
        <v>5500</v>
      </c>
      <c r="D61" s="10">
        <v>2</v>
      </c>
      <c r="E61" s="11">
        <v>0</v>
      </c>
      <c r="F61" s="9">
        <v>2</v>
      </c>
    </row>
    <row r="62" spans="1:7" x14ac:dyDescent="0.25">
      <c r="A62" s="8" t="s">
        <v>50</v>
      </c>
      <c r="B62" s="9" t="s">
        <v>266</v>
      </c>
      <c r="C62" s="9">
        <v>7500</v>
      </c>
      <c r="D62" s="10">
        <v>1</v>
      </c>
      <c r="E62" s="11">
        <v>0</v>
      </c>
      <c r="F62" s="9">
        <v>1</v>
      </c>
    </row>
    <row r="63" spans="1:7" x14ac:dyDescent="0.25">
      <c r="A63" s="8" t="s">
        <v>51</v>
      </c>
      <c r="B63" s="9" t="s">
        <v>266</v>
      </c>
      <c r="C63" s="9">
        <v>11750</v>
      </c>
      <c r="D63" s="10">
        <v>1</v>
      </c>
      <c r="E63" s="11">
        <v>0</v>
      </c>
      <c r="F63" s="9">
        <v>1</v>
      </c>
    </row>
    <row r="64" spans="1:7" x14ac:dyDescent="0.25">
      <c r="A64" s="8" t="s">
        <v>52</v>
      </c>
      <c r="B64" s="9">
        <v>4000</v>
      </c>
      <c r="C64" s="9">
        <f>B64/2</f>
        <v>2000</v>
      </c>
      <c r="D64" s="10">
        <v>2</v>
      </c>
      <c r="E64" s="11">
        <v>0</v>
      </c>
      <c r="F64" s="9">
        <v>2</v>
      </c>
    </row>
    <row r="65" spans="1:7" x14ac:dyDescent="0.25">
      <c r="A65" s="8" t="s">
        <v>53</v>
      </c>
      <c r="B65" s="9">
        <v>5000</v>
      </c>
      <c r="C65" s="9">
        <f>B65/2</f>
        <v>2500</v>
      </c>
      <c r="D65" s="10">
        <v>2</v>
      </c>
      <c r="E65" s="11">
        <v>0</v>
      </c>
      <c r="F65" s="9">
        <v>2</v>
      </c>
    </row>
    <row r="66" spans="1:7" x14ac:dyDescent="0.25">
      <c r="A66" s="8" t="s">
        <v>54</v>
      </c>
      <c r="B66" s="9">
        <v>6500</v>
      </c>
      <c r="C66" s="9">
        <f>B66/2</f>
        <v>3250</v>
      </c>
      <c r="D66" s="10">
        <v>2</v>
      </c>
      <c r="E66" s="11">
        <v>0</v>
      </c>
      <c r="F66" s="9">
        <v>2</v>
      </c>
      <c r="G66" s="33" t="s">
        <v>286</v>
      </c>
    </row>
    <row r="67" spans="1:7" x14ac:dyDescent="0.25">
      <c r="A67" s="8" t="s">
        <v>55</v>
      </c>
      <c r="B67" s="9">
        <v>8000</v>
      </c>
      <c r="C67" s="9">
        <f>B67/2</f>
        <v>4000</v>
      </c>
      <c r="D67" s="10">
        <v>2</v>
      </c>
      <c r="E67" s="11">
        <v>0</v>
      </c>
      <c r="F67" s="9">
        <v>2</v>
      </c>
      <c r="G67" s="33" t="s">
        <v>286</v>
      </c>
    </row>
    <row r="68" spans="1:7" x14ac:dyDescent="0.25">
      <c r="A68" s="8" t="s">
        <v>56</v>
      </c>
      <c r="B68" s="9" t="s">
        <v>266</v>
      </c>
      <c r="C68" s="9">
        <v>5180</v>
      </c>
      <c r="D68" s="10">
        <v>1</v>
      </c>
      <c r="E68" s="11">
        <v>0</v>
      </c>
      <c r="F68" s="9">
        <v>1</v>
      </c>
    </row>
    <row r="69" spans="1:7" x14ac:dyDescent="0.25">
      <c r="A69" s="8" t="s">
        <v>57</v>
      </c>
      <c r="B69" s="9">
        <v>13500</v>
      </c>
      <c r="C69" s="9">
        <f>B69/2</f>
        <v>6750</v>
      </c>
      <c r="D69" s="10">
        <v>2</v>
      </c>
      <c r="E69" s="11">
        <v>0</v>
      </c>
      <c r="F69" s="9">
        <v>2</v>
      </c>
      <c r="G69" s="33" t="s">
        <v>286</v>
      </c>
    </row>
    <row r="70" spans="1:7" x14ac:dyDescent="0.25">
      <c r="A70" s="8" t="s">
        <v>58</v>
      </c>
      <c r="B70" s="9">
        <v>16000</v>
      </c>
      <c r="C70" s="9">
        <f>B70/2</f>
        <v>8000</v>
      </c>
      <c r="D70" s="10">
        <v>2</v>
      </c>
      <c r="E70" s="11">
        <v>0</v>
      </c>
      <c r="F70" s="9">
        <v>2</v>
      </c>
    </row>
    <row r="71" spans="1:7" x14ac:dyDescent="0.25">
      <c r="A71" s="8" t="s">
        <v>59</v>
      </c>
      <c r="B71" s="9">
        <v>18000</v>
      </c>
      <c r="C71" s="9">
        <f>B71/2</f>
        <v>9000</v>
      </c>
      <c r="D71" s="10">
        <v>2</v>
      </c>
      <c r="E71" s="11">
        <v>0</v>
      </c>
      <c r="F71" s="9">
        <v>2</v>
      </c>
    </row>
    <row r="72" spans="1:7" x14ac:dyDescent="0.25">
      <c r="A72" s="8" t="s">
        <v>60</v>
      </c>
      <c r="B72" s="9" t="s">
        <v>266</v>
      </c>
      <c r="C72" s="9">
        <v>10750</v>
      </c>
      <c r="D72" s="10">
        <v>1</v>
      </c>
      <c r="E72" s="11">
        <v>0</v>
      </c>
      <c r="F72" s="9">
        <v>1</v>
      </c>
      <c r="G72" s="33" t="s">
        <v>286</v>
      </c>
    </row>
    <row r="73" spans="1:7" x14ac:dyDescent="0.25">
      <c r="A73" s="8" t="s">
        <v>61</v>
      </c>
      <c r="B73" s="9" t="s">
        <v>266</v>
      </c>
      <c r="C73" s="9">
        <v>14400</v>
      </c>
      <c r="D73" s="10">
        <v>1</v>
      </c>
      <c r="E73" s="11">
        <v>0</v>
      </c>
      <c r="F73" s="9">
        <v>1</v>
      </c>
    </row>
    <row r="74" spans="1:7" x14ac:dyDescent="0.25">
      <c r="A74" s="8" t="s">
        <v>85</v>
      </c>
      <c r="B74" s="9">
        <v>400</v>
      </c>
      <c r="C74" s="9">
        <f>B74/2</f>
        <v>200</v>
      </c>
      <c r="D74" s="10">
        <v>3</v>
      </c>
      <c r="E74" s="11">
        <v>0</v>
      </c>
      <c r="F74" s="9">
        <v>3</v>
      </c>
      <c r="G74" s="33" t="s">
        <v>286</v>
      </c>
    </row>
    <row r="75" spans="1:7" x14ac:dyDescent="0.25">
      <c r="A75" s="8" t="s">
        <v>86</v>
      </c>
      <c r="B75" s="9">
        <v>750</v>
      </c>
      <c r="C75" s="9">
        <f>B75/2</f>
        <v>375</v>
      </c>
      <c r="D75" s="10">
        <v>3</v>
      </c>
      <c r="E75" s="11">
        <v>0</v>
      </c>
      <c r="F75" s="9">
        <v>3</v>
      </c>
    </row>
    <row r="76" spans="1:7" x14ac:dyDescent="0.25">
      <c r="A76" s="8" t="s">
        <v>87</v>
      </c>
      <c r="B76" s="9">
        <v>1350</v>
      </c>
      <c r="C76" s="9">
        <f>B76/2</f>
        <v>675</v>
      </c>
      <c r="D76" s="10">
        <v>3</v>
      </c>
      <c r="E76" s="11">
        <v>0</v>
      </c>
      <c r="F76" s="9">
        <v>3</v>
      </c>
    </row>
    <row r="77" spans="1:7" x14ac:dyDescent="0.25">
      <c r="A77" s="8" t="s">
        <v>88</v>
      </c>
      <c r="B77" s="9">
        <v>2250</v>
      </c>
      <c r="C77" s="9">
        <f>B77/2</f>
        <v>1125</v>
      </c>
      <c r="D77" s="10">
        <v>3</v>
      </c>
      <c r="E77" s="11">
        <v>0</v>
      </c>
      <c r="F77" s="9">
        <v>3</v>
      </c>
    </row>
    <row r="78" spans="1:7" x14ac:dyDescent="0.25">
      <c r="A78" s="8" t="s">
        <v>89</v>
      </c>
      <c r="B78" s="9">
        <v>11000</v>
      </c>
      <c r="C78" s="9">
        <v>4000</v>
      </c>
      <c r="D78" s="10">
        <v>3</v>
      </c>
      <c r="E78" s="11">
        <v>0</v>
      </c>
      <c r="F78" s="9">
        <v>3</v>
      </c>
    </row>
    <row r="79" spans="1:7" x14ac:dyDescent="0.25">
      <c r="A79" s="8" t="s">
        <v>90</v>
      </c>
      <c r="B79" s="9" t="s">
        <v>266</v>
      </c>
      <c r="C79" s="9">
        <v>2900</v>
      </c>
      <c r="D79" s="10">
        <v>1</v>
      </c>
      <c r="E79" s="11">
        <v>0</v>
      </c>
      <c r="F79" s="9">
        <v>1</v>
      </c>
    </row>
    <row r="80" spans="1:7" x14ac:dyDescent="0.25">
      <c r="A80" s="8" t="s">
        <v>72</v>
      </c>
      <c r="B80" s="9">
        <v>260</v>
      </c>
      <c r="C80" s="9">
        <f t="shared" ref="C80:C85" si="3">B80/2</f>
        <v>130</v>
      </c>
      <c r="D80" s="10">
        <v>2</v>
      </c>
      <c r="E80" s="11">
        <v>0</v>
      </c>
      <c r="F80" s="9">
        <v>2</v>
      </c>
    </row>
    <row r="81" spans="1:7" x14ac:dyDescent="0.25">
      <c r="A81" s="8" t="s">
        <v>73</v>
      </c>
      <c r="B81" s="9">
        <v>560</v>
      </c>
      <c r="C81" s="9">
        <f t="shared" si="3"/>
        <v>280</v>
      </c>
      <c r="D81" s="10">
        <v>2</v>
      </c>
      <c r="E81" s="11">
        <v>0</v>
      </c>
      <c r="F81" s="9">
        <v>2</v>
      </c>
    </row>
    <row r="82" spans="1:7" x14ac:dyDescent="0.25">
      <c r="A82" s="8" t="s">
        <v>74</v>
      </c>
      <c r="B82" s="9">
        <v>760</v>
      </c>
      <c r="C82" s="9">
        <f t="shared" si="3"/>
        <v>380</v>
      </c>
      <c r="D82" s="10">
        <v>2</v>
      </c>
      <c r="E82" s="11">
        <v>0</v>
      </c>
      <c r="F82" s="9">
        <v>2</v>
      </c>
    </row>
    <row r="83" spans="1:7" x14ac:dyDescent="0.25">
      <c r="A83" s="8" t="s">
        <v>75</v>
      </c>
      <c r="B83" s="9">
        <v>1770</v>
      </c>
      <c r="C83" s="9">
        <f t="shared" si="3"/>
        <v>885</v>
      </c>
      <c r="D83" s="10">
        <v>2</v>
      </c>
      <c r="E83" s="11">
        <v>0</v>
      </c>
      <c r="F83" s="9">
        <v>2</v>
      </c>
    </row>
    <row r="84" spans="1:7" x14ac:dyDescent="0.25">
      <c r="A84" s="8" t="s">
        <v>76</v>
      </c>
      <c r="B84" s="9">
        <v>3180</v>
      </c>
      <c r="C84" s="9">
        <f t="shared" si="3"/>
        <v>1590</v>
      </c>
      <c r="D84" s="10">
        <v>2</v>
      </c>
      <c r="E84" s="11">
        <v>0</v>
      </c>
      <c r="F84" s="9">
        <v>2</v>
      </c>
      <c r="G84" s="33" t="s">
        <v>286</v>
      </c>
    </row>
    <row r="85" spans="1:7" x14ac:dyDescent="0.25">
      <c r="A85" s="8" t="s">
        <v>77</v>
      </c>
      <c r="B85" s="9">
        <v>3990</v>
      </c>
      <c r="C85" s="9">
        <f t="shared" si="3"/>
        <v>1995</v>
      </c>
      <c r="D85" s="10">
        <v>2</v>
      </c>
      <c r="E85" s="11">
        <v>0</v>
      </c>
      <c r="F85" s="9">
        <v>2</v>
      </c>
    </row>
    <row r="86" spans="1:7" x14ac:dyDescent="0.25">
      <c r="A86" s="8" t="s">
        <v>78</v>
      </c>
      <c r="B86" s="9" t="s">
        <v>266</v>
      </c>
      <c r="C86" s="9">
        <v>5140</v>
      </c>
      <c r="D86" s="10">
        <v>1</v>
      </c>
      <c r="E86" s="11">
        <v>0</v>
      </c>
      <c r="F86" s="9">
        <v>1</v>
      </c>
    </row>
    <row r="87" spans="1:7" x14ac:dyDescent="0.25">
      <c r="A87" s="8" t="s">
        <v>79</v>
      </c>
      <c r="B87" s="9">
        <v>2700</v>
      </c>
      <c r="C87" s="9">
        <f>B87/2</f>
        <v>1350</v>
      </c>
      <c r="D87" s="10">
        <v>2</v>
      </c>
      <c r="E87" s="11">
        <v>0</v>
      </c>
      <c r="F87" s="9">
        <v>2</v>
      </c>
    </row>
    <row r="88" spans="1:7" x14ac:dyDescent="0.25">
      <c r="A88" s="8" t="s">
        <v>80</v>
      </c>
      <c r="B88" s="9">
        <v>3800</v>
      </c>
      <c r="C88" s="9">
        <f>B88/2</f>
        <v>1900</v>
      </c>
      <c r="D88" s="10">
        <v>2</v>
      </c>
      <c r="E88" s="11">
        <v>0</v>
      </c>
      <c r="F88" s="9">
        <v>2</v>
      </c>
    </row>
    <row r="89" spans="1:7" x14ac:dyDescent="0.25">
      <c r="A89" s="8" t="s">
        <v>81</v>
      </c>
      <c r="B89" s="9">
        <v>4500</v>
      </c>
      <c r="C89" s="9">
        <f>B89/2</f>
        <v>2250</v>
      </c>
      <c r="D89" s="10">
        <v>2</v>
      </c>
      <c r="E89" s="11">
        <v>0</v>
      </c>
      <c r="F89" s="9">
        <v>2</v>
      </c>
      <c r="G89" s="33" t="s">
        <v>286</v>
      </c>
    </row>
    <row r="90" spans="1:7" x14ac:dyDescent="0.25">
      <c r="A90" s="8" t="s">
        <v>82</v>
      </c>
      <c r="B90" s="9">
        <v>5700</v>
      </c>
      <c r="C90" s="9">
        <f>B90/2</f>
        <v>2850</v>
      </c>
      <c r="D90" s="10">
        <v>2</v>
      </c>
      <c r="E90" s="11">
        <v>0</v>
      </c>
      <c r="F90" s="9">
        <v>2</v>
      </c>
      <c r="G90" s="33" t="s">
        <v>286</v>
      </c>
    </row>
    <row r="91" spans="1:7" x14ac:dyDescent="0.25">
      <c r="A91" s="8" t="s">
        <v>83</v>
      </c>
      <c r="B91" s="9">
        <v>7000</v>
      </c>
      <c r="C91" s="9">
        <f>B91/2</f>
        <v>3500</v>
      </c>
      <c r="D91" s="10">
        <v>2</v>
      </c>
      <c r="E91" s="11">
        <v>0</v>
      </c>
      <c r="F91" s="9">
        <v>2</v>
      </c>
    </row>
    <row r="92" spans="1:7" x14ac:dyDescent="0.25">
      <c r="A92" s="8" t="s">
        <v>84</v>
      </c>
      <c r="B92" s="9" t="s">
        <v>266</v>
      </c>
      <c r="C92" s="9">
        <v>4150</v>
      </c>
      <c r="D92" s="10">
        <v>1</v>
      </c>
      <c r="E92" s="11">
        <v>0</v>
      </c>
      <c r="F92" s="9">
        <v>1</v>
      </c>
    </row>
    <row r="93" spans="1:7" x14ac:dyDescent="0.25">
      <c r="A93" s="8" t="s">
        <v>18</v>
      </c>
      <c r="B93" s="9">
        <v>320</v>
      </c>
      <c r="C93" s="9">
        <f>B93/2</f>
        <v>160</v>
      </c>
      <c r="D93" s="10">
        <v>2</v>
      </c>
      <c r="E93" s="11">
        <v>0</v>
      </c>
      <c r="F93" s="9">
        <v>2</v>
      </c>
    </row>
    <row r="94" spans="1:7" x14ac:dyDescent="0.25">
      <c r="A94" s="8" t="s">
        <v>21</v>
      </c>
      <c r="B94" s="9">
        <v>1100</v>
      </c>
      <c r="C94" s="9">
        <f t="shared" ref="C94:C163" si="4">B94/2</f>
        <v>550</v>
      </c>
      <c r="D94" s="10">
        <v>2</v>
      </c>
      <c r="E94" s="11">
        <v>0</v>
      </c>
      <c r="F94" s="9">
        <v>2</v>
      </c>
    </row>
    <row r="95" spans="1:7" x14ac:dyDescent="0.25">
      <c r="A95" s="8" t="s">
        <v>19</v>
      </c>
      <c r="B95" s="9">
        <v>980</v>
      </c>
      <c r="C95" s="9">
        <f t="shared" si="4"/>
        <v>490</v>
      </c>
      <c r="D95" s="10">
        <v>2</v>
      </c>
      <c r="E95" s="11">
        <v>0</v>
      </c>
      <c r="F95" s="9">
        <v>2</v>
      </c>
    </row>
    <row r="96" spans="1:7" x14ac:dyDescent="0.25">
      <c r="A96" s="8" t="s">
        <v>20</v>
      </c>
      <c r="B96" s="9">
        <v>1200</v>
      </c>
      <c r="C96" s="9">
        <f t="shared" si="4"/>
        <v>600</v>
      </c>
      <c r="D96" s="10">
        <v>2</v>
      </c>
      <c r="E96" s="11">
        <v>0</v>
      </c>
      <c r="F96" s="9">
        <v>2</v>
      </c>
    </row>
    <row r="97" spans="1:7" x14ac:dyDescent="0.25">
      <c r="A97" s="8" t="s">
        <v>22</v>
      </c>
      <c r="B97" s="9">
        <v>2400</v>
      </c>
      <c r="C97" s="9">
        <f t="shared" si="4"/>
        <v>1200</v>
      </c>
      <c r="D97" s="10">
        <v>2</v>
      </c>
      <c r="E97" s="11">
        <v>0</v>
      </c>
      <c r="F97" s="9">
        <v>2</v>
      </c>
    </row>
    <row r="98" spans="1:7" x14ac:dyDescent="0.25">
      <c r="A98" s="8" t="s">
        <v>23</v>
      </c>
      <c r="B98" s="9">
        <v>3200</v>
      </c>
      <c r="C98" s="9">
        <f t="shared" si="4"/>
        <v>1600</v>
      </c>
      <c r="D98" s="10">
        <v>2</v>
      </c>
      <c r="E98" s="11">
        <v>0</v>
      </c>
      <c r="F98" s="9">
        <v>2</v>
      </c>
    </row>
    <row r="99" spans="1:7" x14ac:dyDescent="0.25">
      <c r="A99" s="8" t="s">
        <v>24</v>
      </c>
      <c r="B99" s="9">
        <v>4500</v>
      </c>
      <c r="C99" s="9">
        <f t="shared" si="4"/>
        <v>2250</v>
      </c>
      <c r="D99" s="10">
        <v>2</v>
      </c>
      <c r="E99" s="11">
        <v>0</v>
      </c>
      <c r="F99" s="9">
        <v>2</v>
      </c>
      <c r="G99" s="33" t="s">
        <v>286</v>
      </c>
    </row>
    <row r="100" spans="1:7" x14ac:dyDescent="0.25">
      <c r="A100" s="8" t="s">
        <v>25</v>
      </c>
      <c r="B100" s="9">
        <v>6000</v>
      </c>
      <c r="C100" s="9">
        <f t="shared" si="4"/>
        <v>3000</v>
      </c>
      <c r="D100" s="10">
        <v>2</v>
      </c>
      <c r="E100" s="11">
        <v>0</v>
      </c>
      <c r="F100" s="9">
        <v>2</v>
      </c>
    </row>
    <row r="101" spans="1:7" x14ac:dyDescent="0.25">
      <c r="A101" s="8" t="s">
        <v>26</v>
      </c>
      <c r="B101" s="9" t="s">
        <v>266</v>
      </c>
      <c r="C101" s="9">
        <v>5000</v>
      </c>
      <c r="D101" s="10">
        <v>1</v>
      </c>
      <c r="E101" s="11">
        <v>0</v>
      </c>
      <c r="F101" s="9">
        <v>1</v>
      </c>
    </row>
    <row r="102" spans="1:7" x14ac:dyDescent="0.25">
      <c r="A102" s="8" t="s">
        <v>65</v>
      </c>
      <c r="B102" s="9">
        <v>1100</v>
      </c>
      <c r="C102" s="9">
        <f t="shared" si="4"/>
        <v>550</v>
      </c>
      <c r="D102" s="10">
        <v>2</v>
      </c>
      <c r="E102" s="11">
        <v>0</v>
      </c>
      <c r="F102" s="9">
        <v>2</v>
      </c>
    </row>
    <row r="103" spans="1:7" x14ac:dyDescent="0.25">
      <c r="A103" s="8" t="s">
        <v>66</v>
      </c>
      <c r="B103" s="9">
        <v>3100</v>
      </c>
      <c r="C103" s="9">
        <f t="shared" si="4"/>
        <v>1550</v>
      </c>
      <c r="D103" s="10">
        <v>2</v>
      </c>
      <c r="E103" s="11">
        <v>0</v>
      </c>
      <c r="F103" s="9">
        <v>2</v>
      </c>
    </row>
    <row r="104" spans="1:7" x14ac:dyDescent="0.25">
      <c r="A104" s="8" t="s">
        <v>67</v>
      </c>
      <c r="B104" s="9">
        <v>4700</v>
      </c>
      <c r="C104" s="9">
        <f t="shared" si="4"/>
        <v>2350</v>
      </c>
      <c r="D104" s="10">
        <v>2</v>
      </c>
      <c r="E104" s="11">
        <v>0</v>
      </c>
      <c r="F104" s="9">
        <v>2</v>
      </c>
    </row>
    <row r="105" spans="1:7" x14ac:dyDescent="0.25">
      <c r="A105" s="8" t="s">
        <v>68</v>
      </c>
      <c r="B105" s="9">
        <v>7400</v>
      </c>
      <c r="C105" s="9">
        <f t="shared" si="4"/>
        <v>3700</v>
      </c>
      <c r="D105" s="10">
        <v>2</v>
      </c>
      <c r="E105" s="11">
        <v>0</v>
      </c>
      <c r="F105" s="9">
        <v>2</v>
      </c>
      <c r="G105" s="33" t="s">
        <v>286</v>
      </c>
    </row>
    <row r="106" spans="1:7" x14ac:dyDescent="0.25">
      <c r="A106" s="8" t="s">
        <v>69</v>
      </c>
      <c r="B106" s="9">
        <v>10300</v>
      </c>
      <c r="C106" s="9">
        <f t="shared" si="4"/>
        <v>5150</v>
      </c>
      <c r="D106" s="10">
        <v>2</v>
      </c>
      <c r="E106" s="11">
        <v>0</v>
      </c>
      <c r="F106" s="9">
        <v>2</v>
      </c>
    </row>
    <row r="107" spans="1:7" x14ac:dyDescent="0.25">
      <c r="A107" s="8" t="s">
        <v>70</v>
      </c>
      <c r="B107" s="9" t="s">
        <v>266</v>
      </c>
      <c r="C107" s="9">
        <v>6650</v>
      </c>
      <c r="D107" s="10">
        <v>1</v>
      </c>
      <c r="E107" s="11">
        <v>0</v>
      </c>
      <c r="F107" s="9">
        <v>1</v>
      </c>
    </row>
    <row r="108" spans="1:7" x14ac:dyDescent="0.25">
      <c r="A108" s="8" t="s">
        <v>135</v>
      </c>
      <c r="B108" s="9" t="s">
        <v>266</v>
      </c>
      <c r="C108" s="9">
        <v>490</v>
      </c>
      <c r="D108" s="10">
        <v>8</v>
      </c>
      <c r="E108" s="11">
        <v>0</v>
      </c>
      <c r="F108" s="9">
        <v>8</v>
      </c>
    </row>
    <row r="109" spans="1:7" x14ac:dyDescent="0.25">
      <c r="A109" s="8" t="s">
        <v>138</v>
      </c>
      <c r="B109" s="9">
        <v>130</v>
      </c>
      <c r="C109" s="9">
        <f t="shared" si="4"/>
        <v>65</v>
      </c>
      <c r="D109" s="10">
        <v>7</v>
      </c>
      <c r="E109" s="11">
        <v>0</v>
      </c>
      <c r="F109" s="9">
        <v>7</v>
      </c>
    </row>
    <row r="110" spans="1:7" x14ac:dyDescent="0.25">
      <c r="A110" s="8" t="s">
        <v>131</v>
      </c>
      <c r="B110" s="9">
        <v>200</v>
      </c>
      <c r="C110" s="9">
        <f t="shared" si="4"/>
        <v>100</v>
      </c>
      <c r="D110" s="10">
        <v>7</v>
      </c>
      <c r="E110" s="11">
        <v>0</v>
      </c>
      <c r="F110" s="9">
        <v>7</v>
      </c>
    </row>
    <row r="111" spans="1:7" x14ac:dyDescent="0.25">
      <c r="A111" s="8" t="s">
        <v>129</v>
      </c>
      <c r="B111" s="9">
        <v>250</v>
      </c>
      <c r="C111" s="9">
        <f t="shared" si="4"/>
        <v>125</v>
      </c>
      <c r="D111" s="10">
        <v>7</v>
      </c>
      <c r="E111" s="11">
        <v>0</v>
      </c>
      <c r="F111" s="9">
        <v>7</v>
      </c>
    </row>
    <row r="112" spans="1:7" x14ac:dyDescent="0.25">
      <c r="A112" s="8" t="s">
        <v>125</v>
      </c>
      <c r="B112" s="9">
        <v>330</v>
      </c>
      <c r="C112" s="9">
        <f t="shared" si="4"/>
        <v>165</v>
      </c>
      <c r="D112" s="10">
        <v>7</v>
      </c>
      <c r="E112" s="11">
        <v>0</v>
      </c>
      <c r="F112" s="9">
        <v>7</v>
      </c>
    </row>
    <row r="113" spans="1:7" x14ac:dyDescent="0.25">
      <c r="A113" s="8" t="s">
        <v>133</v>
      </c>
      <c r="B113" s="9">
        <v>500</v>
      </c>
      <c r="C113" s="9">
        <f t="shared" si="4"/>
        <v>250</v>
      </c>
      <c r="D113" s="10">
        <v>7</v>
      </c>
      <c r="E113" s="11">
        <v>0</v>
      </c>
      <c r="F113" s="9">
        <v>7</v>
      </c>
    </row>
    <row r="114" spans="1:7" x14ac:dyDescent="0.25">
      <c r="A114" s="8" t="s">
        <v>132</v>
      </c>
      <c r="B114" s="9">
        <v>1000</v>
      </c>
      <c r="C114" s="9">
        <f t="shared" si="4"/>
        <v>500</v>
      </c>
      <c r="D114" s="10">
        <v>5</v>
      </c>
      <c r="E114" s="11">
        <v>0</v>
      </c>
      <c r="F114" s="9">
        <v>5</v>
      </c>
    </row>
    <row r="115" spans="1:7" x14ac:dyDescent="0.25">
      <c r="A115" s="8" t="s">
        <v>127</v>
      </c>
      <c r="B115" s="9">
        <v>1200</v>
      </c>
      <c r="C115" s="9">
        <f t="shared" si="4"/>
        <v>600</v>
      </c>
      <c r="D115" s="10">
        <v>7</v>
      </c>
      <c r="E115" s="11">
        <v>0</v>
      </c>
      <c r="F115" s="9">
        <v>7</v>
      </c>
    </row>
    <row r="116" spans="1:7" x14ac:dyDescent="0.25">
      <c r="A116" s="8" t="s">
        <v>263</v>
      </c>
      <c r="B116" s="9">
        <v>2000</v>
      </c>
      <c r="C116" s="9">
        <f t="shared" si="4"/>
        <v>1000</v>
      </c>
      <c r="D116" s="10">
        <v>7</v>
      </c>
      <c r="E116" s="11">
        <v>0</v>
      </c>
      <c r="F116" s="9">
        <v>7</v>
      </c>
    </row>
    <row r="117" spans="1:7" x14ac:dyDescent="0.25">
      <c r="A117" s="8" t="s">
        <v>134</v>
      </c>
      <c r="B117" s="9">
        <v>3000</v>
      </c>
      <c r="C117" s="9">
        <f t="shared" si="4"/>
        <v>1500</v>
      </c>
      <c r="D117" s="10">
        <v>7</v>
      </c>
      <c r="E117" s="11">
        <v>0</v>
      </c>
      <c r="F117" s="9">
        <v>7</v>
      </c>
    </row>
    <row r="118" spans="1:7" x14ac:dyDescent="0.25">
      <c r="A118" s="8" t="s">
        <v>130</v>
      </c>
      <c r="B118" s="9">
        <v>3400</v>
      </c>
      <c r="C118" s="9">
        <f t="shared" si="4"/>
        <v>1700</v>
      </c>
      <c r="D118" s="10">
        <v>7</v>
      </c>
      <c r="E118" s="11">
        <v>0</v>
      </c>
      <c r="F118" s="9">
        <v>7</v>
      </c>
    </row>
    <row r="119" spans="1:7" x14ac:dyDescent="0.25">
      <c r="A119" s="8" t="s">
        <v>137</v>
      </c>
      <c r="B119" s="9">
        <v>50000</v>
      </c>
      <c r="C119" s="9">
        <f t="shared" si="4"/>
        <v>25000</v>
      </c>
      <c r="D119" s="10">
        <v>3</v>
      </c>
      <c r="E119" s="11">
        <v>0</v>
      </c>
      <c r="F119" s="9">
        <v>3</v>
      </c>
    </row>
    <row r="120" spans="1:7" x14ac:dyDescent="0.25">
      <c r="A120" s="8" t="s">
        <v>128</v>
      </c>
      <c r="B120" s="9">
        <v>4800</v>
      </c>
      <c r="C120" s="9">
        <f t="shared" si="4"/>
        <v>2400</v>
      </c>
      <c r="D120" s="10">
        <v>8</v>
      </c>
      <c r="E120" s="11">
        <v>0</v>
      </c>
      <c r="F120" s="9">
        <v>8</v>
      </c>
    </row>
    <row r="121" spans="1:7" x14ac:dyDescent="0.25">
      <c r="A121" s="8" t="s">
        <v>136</v>
      </c>
      <c r="B121" s="9">
        <v>5100</v>
      </c>
      <c r="C121" s="9">
        <f t="shared" si="4"/>
        <v>2550</v>
      </c>
      <c r="D121" s="10">
        <v>7</v>
      </c>
      <c r="E121" s="11">
        <v>0</v>
      </c>
      <c r="F121" s="9">
        <v>7</v>
      </c>
    </row>
    <row r="122" spans="1:7" x14ac:dyDescent="0.25">
      <c r="A122" s="8" t="s">
        <v>126</v>
      </c>
      <c r="B122" s="9">
        <v>24000</v>
      </c>
      <c r="C122" s="9">
        <v>4000</v>
      </c>
      <c r="D122" s="10">
        <v>7</v>
      </c>
      <c r="E122" s="11">
        <v>0</v>
      </c>
      <c r="F122" s="9">
        <v>7</v>
      </c>
    </row>
    <row r="123" spans="1:7" x14ac:dyDescent="0.25">
      <c r="A123" s="8" t="s">
        <v>140</v>
      </c>
      <c r="B123" s="9">
        <v>480</v>
      </c>
      <c r="C123" s="9">
        <f t="shared" si="4"/>
        <v>240</v>
      </c>
      <c r="D123" s="10">
        <v>3</v>
      </c>
      <c r="E123" s="11">
        <v>0</v>
      </c>
      <c r="F123" s="9">
        <v>3</v>
      </c>
    </row>
    <row r="124" spans="1:7" x14ac:dyDescent="0.25">
      <c r="A124" s="8" t="s">
        <v>144</v>
      </c>
      <c r="B124" s="9">
        <v>720</v>
      </c>
      <c r="C124" s="9">
        <f t="shared" si="4"/>
        <v>360</v>
      </c>
      <c r="D124" s="10">
        <v>3</v>
      </c>
      <c r="E124" s="11">
        <v>0</v>
      </c>
      <c r="F124" s="9">
        <v>3</v>
      </c>
      <c r="G124" s="33" t="s">
        <v>286</v>
      </c>
    </row>
    <row r="125" spans="1:7" x14ac:dyDescent="0.25">
      <c r="A125" s="8" t="s">
        <v>143</v>
      </c>
      <c r="B125" s="9">
        <v>980</v>
      </c>
      <c r="C125" s="9">
        <f t="shared" si="4"/>
        <v>490</v>
      </c>
      <c r="D125" s="10">
        <v>3</v>
      </c>
      <c r="E125" s="11">
        <v>0</v>
      </c>
      <c r="F125" s="9">
        <v>3</v>
      </c>
    </row>
    <row r="126" spans="1:7" x14ac:dyDescent="0.25">
      <c r="A126" s="8" t="s">
        <v>145</v>
      </c>
      <c r="B126" s="9">
        <v>1200</v>
      </c>
      <c r="C126" s="9">
        <f t="shared" si="4"/>
        <v>600</v>
      </c>
      <c r="D126" s="10">
        <v>3</v>
      </c>
      <c r="E126" s="11">
        <v>0</v>
      </c>
      <c r="F126" s="9">
        <v>3</v>
      </c>
    </row>
    <row r="127" spans="1:7" x14ac:dyDescent="0.25">
      <c r="A127" s="8" t="s">
        <v>141</v>
      </c>
      <c r="B127" s="9">
        <v>2000</v>
      </c>
      <c r="C127" s="9">
        <f t="shared" si="4"/>
        <v>1000</v>
      </c>
      <c r="D127" s="10">
        <v>3</v>
      </c>
      <c r="E127" s="11">
        <v>0</v>
      </c>
      <c r="F127" s="9">
        <v>3</v>
      </c>
      <c r="G127" s="33" t="s">
        <v>286</v>
      </c>
    </row>
    <row r="128" spans="1:7" x14ac:dyDescent="0.25">
      <c r="A128" s="8" t="s">
        <v>254</v>
      </c>
      <c r="B128" s="9">
        <v>2800</v>
      </c>
      <c r="C128" s="9">
        <f t="shared" si="4"/>
        <v>1400</v>
      </c>
      <c r="D128" s="10">
        <v>3</v>
      </c>
      <c r="E128" s="11">
        <v>0</v>
      </c>
      <c r="F128" s="9">
        <v>3</v>
      </c>
    </row>
    <row r="129" spans="1:7" x14ac:dyDescent="0.25">
      <c r="A129" s="8" t="s">
        <v>264</v>
      </c>
      <c r="B129" s="9">
        <v>6000</v>
      </c>
      <c r="C129" s="9">
        <f t="shared" si="4"/>
        <v>3000</v>
      </c>
      <c r="D129" s="10">
        <v>3</v>
      </c>
      <c r="E129" s="11">
        <v>0</v>
      </c>
      <c r="F129" s="9">
        <v>3</v>
      </c>
    </row>
    <row r="130" spans="1:7" x14ac:dyDescent="0.25">
      <c r="A130" s="8" t="s">
        <v>142</v>
      </c>
      <c r="B130" s="9" t="s">
        <v>266</v>
      </c>
      <c r="C130" s="9">
        <v>1</v>
      </c>
      <c r="D130" s="10">
        <v>2</v>
      </c>
      <c r="E130" s="11">
        <v>0</v>
      </c>
      <c r="F130" s="9">
        <v>2</v>
      </c>
      <c r="G130" s="33" t="s">
        <v>286</v>
      </c>
    </row>
    <row r="131" spans="1:7" x14ac:dyDescent="0.25">
      <c r="A131" s="8" t="s">
        <v>265</v>
      </c>
      <c r="B131" s="9">
        <v>7000</v>
      </c>
      <c r="C131" s="9">
        <f t="shared" si="4"/>
        <v>3500</v>
      </c>
      <c r="D131" s="10">
        <v>2</v>
      </c>
      <c r="E131" s="11">
        <v>0</v>
      </c>
      <c r="F131" s="9">
        <v>2</v>
      </c>
    </row>
    <row r="132" spans="1:7" x14ac:dyDescent="0.25">
      <c r="A132" s="8" t="s">
        <v>139</v>
      </c>
      <c r="B132" s="9">
        <v>8000</v>
      </c>
      <c r="C132" s="9">
        <v>4400</v>
      </c>
      <c r="D132" s="10">
        <v>3</v>
      </c>
      <c r="E132" s="11">
        <v>0</v>
      </c>
      <c r="F132" s="9">
        <v>3</v>
      </c>
    </row>
    <row r="133" spans="1:7" x14ac:dyDescent="0.25">
      <c r="A133" s="8" t="s">
        <v>105</v>
      </c>
      <c r="B133" s="9">
        <v>150</v>
      </c>
      <c r="C133" s="9">
        <f t="shared" si="4"/>
        <v>75</v>
      </c>
      <c r="D133" s="10">
        <v>7</v>
      </c>
      <c r="E133" s="11">
        <v>0</v>
      </c>
      <c r="F133" s="9">
        <v>7</v>
      </c>
    </row>
    <row r="134" spans="1:7" x14ac:dyDescent="0.25">
      <c r="A134" s="8" t="s">
        <v>111</v>
      </c>
      <c r="B134" s="9" t="s">
        <v>266</v>
      </c>
      <c r="C134" s="9">
        <v>750</v>
      </c>
      <c r="D134" s="10">
        <v>8</v>
      </c>
      <c r="E134" s="11">
        <v>0</v>
      </c>
      <c r="F134" s="9">
        <v>8</v>
      </c>
    </row>
    <row r="135" spans="1:7" x14ac:dyDescent="0.25">
      <c r="A135" s="8" t="s">
        <v>97</v>
      </c>
      <c r="B135" s="9">
        <v>200</v>
      </c>
      <c r="C135" s="9">
        <f t="shared" si="4"/>
        <v>100</v>
      </c>
      <c r="D135" s="10">
        <v>6</v>
      </c>
      <c r="E135" s="11">
        <v>0</v>
      </c>
      <c r="F135" s="9">
        <v>6</v>
      </c>
    </row>
    <row r="136" spans="1:7" x14ac:dyDescent="0.25">
      <c r="A136" s="8" t="s">
        <v>110</v>
      </c>
      <c r="B136" s="9">
        <v>260</v>
      </c>
      <c r="C136" s="9">
        <f t="shared" si="4"/>
        <v>130</v>
      </c>
      <c r="D136" s="10">
        <v>6</v>
      </c>
      <c r="E136" s="11">
        <v>0</v>
      </c>
      <c r="F136" s="9">
        <v>6</v>
      </c>
    </row>
    <row r="137" spans="1:7" x14ac:dyDescent="0.25">
      <c r="A137" s="8" t="s">
        <v>102</v>
      </c>
      <c r="B137" s="9">
        <v>330</v>
      </c>
      <c r="C137" s="9">
        <f t="shared" si="4"/>
        <v>165</v>
      </c>
      <c r="D137" s="10">
        <v>7</v>
      </c>
      <c r="E137" s="11">
        <v>0</v>
      </c>
      <c r="F137" s="9">
        <v>7</v>
      </c>
    </row>
    <row r="138" spans="1:7" x14ac:dyDescent="0.25">
      <c r="A138" s="8" t="s">
        <v>304</v>
      </c>
      <c r="B138" s="9">
        <v>400</v>
      </c>
      <c r="C138" s="9">
        <f t="shared" si="4"/>
        <v>200</v>
      </c>
      <c r="D138" s="10">
        <v>7</v>
      </c>
      <c r="E138" s="11">
        <v>0</v>
      </c>
      <c r="F138" s="9">
        <v>7</v>
      </c>
    </row>
    <row r="139" spans="1:7" x14ac:dyDescent="0.25">
      <c r="A139" s="8" t="s">
        <v>92</v>
      </c>
      <c r="B139" s="9">
        <v>500</v>
      </c>
      <c r="C139" s="9">
        <f t="shared" si="4"/>
        <v>250</v>
      </c>
      <c r="D139" s="10">
        <v>7</v>
      </c>
      <c r="E139" s="11">
        <v>0</v>
      </c>
      <c r="F139" s="9">
        <v>7</v>
      </c>
      <c r="G139" s="33" t="s">
        <v>286</v>
      </c>
    </row>
    <row r="140" spans="1:7" x14ac:dyDescent="0.25">
      <c r="A140" s="8" t="s">
        <v>106</v>
      </c>
      <c r="B140" s="9">
        <v>600</v>
      </c>
      <c r="C140" s="9">
        <f t="shared" si="4"/>
        <v>300</v>
      </c>
      <c r="D140" s="10">
        <v>5</v>
      </c>
      <c r="E140" s="11">
        <v>0</v>
      </c>
      <c r="F140" s="9">
        <v>5</v>
      </c>
    </row>
    <row r="141" spans="1:7" x14ac:dyDescent="0.25">
      <c r="A141" s="8" t="s">
        <v>104</v>
      </c>
      <c r="B141" s="9">
        <v>800</v>
      </c>
      <c r="C141" s="9">
        <f t="shared" si="4"/>
        <v>400</v>
      </c>
      <c r="D141" s="10">
        <v>5</v>
      </c>
      <c r="E141" s="11">
        <v>0</v>
      </c>
      <c r="F141" s="9">
        <v>5</v>
      </c>
    </row>
    <row r="142" spans="1:7" x14ac:dyDescent="0.25">
      <c r="A142" s="8" t="s">
        <v>109</v>
      </c>
      <c r="B142" s="9">
        <v>1000</v>
      </c>
      <c r="C142" s="9">
        <f t="shared" si="4"/>
        <v>500</v>
      </c>
      <c r="D142" s="10">
        <v>7</v>
      </c>
      <c r="E142" s="11">
        <v>0</v>
      </c>
      <c r="F142" s="9">
        <v>7</v>
      </c>
    </row>
    <row r="143" spans="1:7" x14ac:dyDescent="0.25">
      <c r="A143" s="8" t="s">
        <v>113</v>
      </c>
      <c r="B143" s="9">
        <v>1200</v>
      </c>
      <c r="C143" s="9">
        <f t="shared" si="4"/>
        <v>600</v>
      </c>
      <c r="D143" s="10">
        <v>7</v>
      </c>
      <c r="E143" s="11">
        <v>0</v>
      </c>
      <c r="F143" s="9">
        <v>7</v>
      </c>
    </row>
    <row r="144" spans="1:7" x14ac:dyDescent="0.25">
      <c r="A144" s="8" t="s">
        <v>107</v>
      </c>
      <c r="B144" s="9">
        <v>1500</v>
      </c>
      <c r="C144" s="9">
        <f t="shared" si="4"/>
        <v>750</v>
      </c>
      <c r="D144" s="10">
        <v>7</v>
      </c>
      <c r="E144" s="11">
        <v>0</v>
      </c>
      <c r="F144" s="9">
        <v>7</v>
      </c>
    </row>
    <row r="145" spans="1:7" x14ac:dyDescent="0.25">
      <c r="A145" s="8" t="s">
        <v>96</v>
      </c>
      <c r="B145" s="9">
        <v>1800</v>
      </c>
      <c r="C145" s="9">
        <f t="shared" si="4"/>
        <v>900</v>
      </c>
      <c r="D145" s="10">
        <v>7</v>
      </c>
      <c r="E145" s="11">
        <v>0</v>
      </c>
      <c r="F145" s="9">
        <v>7</v>
      </c>
    </row>
    <row r="146" spans="1:7" x14ac:dyDescent="0.25">
      <c r="A146" s="8" t="s">
        <v>101</v>
      </c>
      <c r="B146" s="9">
        <v>2180</v>
      </c>
      <c r="C146" s="9">
        <f t="shared" si="4"/>
        <v>1090</v>
      </c>
      <c r="D146" s="10">
        <v>7</v>
      </c>
      <c r="E146" s="11">
        <v>0</v>
      </c>
      <c r="F146" s="9">
        <v>7</v>
      </c>
      <c r="G146" s="33" t="s">
        <v>286</v>
      </c>
    </row>
    <row r="147" spans="1:7" x14ac:dyDescent="0.25">
      <c r="A147" s="8" t="s">
        <v>93</v>
      </c>
      <c r="B147" s="9">
        <v>2550</v>
      </c>
      <c r="C147" s="9">
        <f t="shared" si="4"/>
        <v>1275</v>
      </c>
      <c r="D147" s="10">
        <v>6</v>
      </c>
      <c r="E147" s="11">
        <v>0</v>
      </c>
      <c r="F147" s="9">
        <v>6</v>
      </c>
      <c r="G147" s="33" t="s">
        <v>286</v>
      </c>
    </row>
    <row r="148" spans="1:7" x14ac:dyDescent="0.25">
      <c r="A148" s="8" t="s">
        <v>108</v>
      </c>
      <c r="B148" s="9">
        <v>3000</v>
      </c>
      <c r="C148" s="9">
        <f t="shared" si="4"/>
        <v>1500</v>
      </c>
      <c r="D148" s="10">
        <v>7</v>
      </c>
      <c r="E148" s="11">
        <v>0</v>
      </c>
      <c r="F148" s="9">
        <v>7</v>
      </c>
    </row>
    <row r="149" spans="1:7" x14ac:dyDescent="0.25">
      <c r="A149" s="8" t="s">
        <v>99</v>
      </c>
      <c r="B149" s="9">
        <v>3700</v>
      </c>
      <c r="C149" s="9">
        <f t="shared" si="4"/>
        <v>1850</v>
      </c>
      <c r="D149" s="10">
        <v>7</v>
      </c>
      <c r="E149" s="11">
        <v>0</v>
      </c>
      <c r="F149" s="9">
        <v>7</v>
      </c>
    </row>
    <row r="150" spans="1:7" x14ac:dyDescent="0.25">
      <c r="A150" s="8" t="s">
        <v>95</v>
      </c>
      <c r="B150" s="9">
        <v>4400</v>
      </c>
      <c r="C150" s="9">
        <f t="shared" si="4"/>
        <v>2200</v>
      </c>
      <c r="D150" s="10">
        <v>7</v>
      </c>
      <c r="E150" s="11">
        <v>0</v>
      </c>
      <c r="F150" s="9">
        <v>7</v>
      </c>
    </row>
    <row r="151" spans="1:7" x14ac:dyDescent="0.25">
      <c r="A151" s="8" t="s">
        <v>98</v>
      </c>
      <c r="B151" s="9">
        <v>5200</v>
      </c>
      <c r="C151" s="9">
        <f t="shared" si="4"/>
        <v>2600</v>
      </c>
      <c r="D151" s="10">
        <v>6</v>
      </c>
      <c r="E151" s="11">
        <v>0</v>
      </c>
      <c r="F151" s="9">
        <v>6</v>
      </c>
    </row>
    <row r="152" spans="1:7" x14ac:dyDescent="0.25">
      <c r="A152" s="8" t="s">
        <v>91</v>
      </c>
      <c r="B152" s="9">
        <v>6100</v>
      </c>
      <c r="C152" s="9">
        <f t="shared" si="4"/>
        <v>3050</v>
      </c>
      <c r="D152" s="10">
        <v>7</v>
      </c>
      <c r="E152" s="11">
        <v>0</v>
      </c>
      <c r="F152" s="9">
        <v>7</v>
      </c>
    </row>
    <row r="153" spans="1:7" x14ac:dyDescent="0.25">
      <c r="A153" s="8" t="s">
        <v>112</v>
      </c>
      <c r="B153" s="9">
        <v>7100</v>
      </c>
      <c r="C153" s="9">
        <f t="shared" si="4"/>
        <v>3550</v>
      </c>
      <c r="D153" s="10">
        <v>2</v>
      </c>
      <c r="E153" s="11">
        <v>0</v>
      </c>
      <c r="F153" s="9">
        <v>2</v>
      </c>
    </row>
    <row r="154" spans="1:7" x14ac:dyDescent="0.25">
      <c r="A154" s="8" t="s">
        <v>103</v>
      </c>
      <c r="B154" s="9">
        <v>8300</v>
      </c>
      <c r="C154" s="9">
        <f t="shared" si="4"/>
        <v>4150</v>
      </c>
      <c r="D154" s="10">
        <v>5</v>
      </c>
      <c r="E154" s="11">
        <v>0</v>
      </c>
      <c r="F154" s="9">
        <v>5</v>
      </c>
    </row>
    <row r="155" spans="1:7" x14ac:dyDescent="0.25">
      <c r="A155" s="8" t="s">
        <v>100</v>
      </c>
      <c r="B155" s="9">
        <v>15000</v>
      </c>
      <c r="C155" s="9">
        <v>6000</v>
      </c>
      <c r="D155" s="10">
        <v>7</v>
      </c>
      <c r="E155" s="11">
        <v>0</v>
      </c>
      <c r="F155" s="9">
        <v>7</v>
      </c>
    </row>
    <row r="156" spans="1:7" x14ac:dyDescent="0.25">
      <c r="A156" s="8" t="s">
        <v>94</v>
      </c>
      <c r="B156" s="9">
        <v>20000</v>
      </c>
      <c r="C156" s="9">
        <v>6500</v>
      </c>
      <c r="D156" s="10">
        <v>7</v>
      </c>
      <c r="E156" s="11">
        <v>0</v>
      </c>
      <c r="F156" s="9">
        <v>7</v>
      </c>
    </row>
    <row r="157" spans="1:7" x14ac:dyDescent="0.25">
      <c r="A157" s="8" t="s">
        <v>124</v>
      </c>
      <c r="B157" s="9">
        <v>250</v>
      </c>
      <c r="C157" s="9">
        <f t="shared" si="4"/>
        <v>125</v>
      </c>
      <c r="D157" s="10">
        <v>3</v>
      </c>
      <c r="E157" s="11">
        <v>0</v>
      </c>
      <c r="F157" s="9">
        <v>3</v>
      </c>
    </row>
    <row r="158" spans="1:7" x14ac:dyDescent="0.25">
      <c r="A158" s="8" t="s">
        <v>115</v>
      </c>
      <c r="B158" s="9">
        <v>330</v>
      </c>
      <c r="C158" s="9">
        <f t="shared" si="4"/>
        <v>165</v>
      </c>
      <c r="D158" s="10">
        <v>3</v>
      </c>
      <c r="E158" s="11">
        <v>0</v>
      </c>
      <c r="F158" s="9">
        <v>3</v>
      </c>
    </row>
    <row r="159" spans="1:7" x14ac:dyDescent="0.25">
      <c r="A159" s="8" t="s">
        <v>120</v>
      </c>
      <c r="B159" s="9">
        <v>450</v>
      </c>
      <c r="C159" s="9">
        <f t="shared" si="4"/>
        <v>225</v>
      </c>
      <c r="D159" s="10">
        <v>3</v>
      </c>
      <c r="E159" s="11">
        <v>0</v>
      </c>
      <c r="F159" s="9">
        <v>3</v>
      </c>
      <c r="G159" s="33" t="s">
        <v>286</v>
      </c>
    </row>
    <row r="160" spans="1:7" x14ac:dyDescent="0.25">
      <c r="A160" s="8" t="s">
        <v>114</v>
      </c>
      <c r="B160" s="9">
        <v>600</v>
      </c>
      <c r="C160" s="9">
        <f t="shared" si="4"/>
        <v>300</v>
      </c>
      <c r="D160" s="10">
        <v>3</v>
      </c>
      <c r="E160" s="11">
        <v>0</v>
      </c>
      <c r="F160" s="9">
        <v>3</v>
      </c>
    </row>
    <row r="161" spans="1:7" x14ac:dyDescent="0.25">
      <c r="A161" s="8" t="s">
        <v>122</v>
      </c>
      <c r="B161" s="9">
        <v>1000</v>
      </c>
      <c r="C161" s="9">
        <f t="shared" si="4"/>
        <v>500</v>
      </c>
      <c r="D161" s="10">
        <v>3</v>
      </c>
      <c r="E161" s="11">
        <v>0</v>
      </c>
      <c r="F161" s="9">
        <v>3</v>
      </c>
    </row>
    <row r="162" spans="1:7" x14ac:dyDescent="0.25">
      <c r="A162" s="8" t="s">
        <v>118</v>
      </c>
      <c r="B162" s="9">
        <v>1800</v>
      </c>
      <c r="C162" s="9">
        <f t="shared" si="4"/>
        <v>900</v>
      </c>
      <c r="D162" s="10">
        <v>3</v>
      </c>
      <c r="E162" s="11">
        <v>0</v>
      </c>
      <c r="F162" s="9">
        <v>3</v>
      </c>
    </row>
    <row r="163" spans="1:7" x14ac:dyDescent="0.25">
      <c r="A163" s="8" t="s">
        <v>116</v>
      </c>
      <c r="B163" s="9">
        <v>2200</v>
      </c>
      <c r="C163" s="9">
        <f t="shared" si="4"/>
        <v>1100</v>
      </c>
      <c r="D163" s="10">
        <v>3</v>
      </c>
      <c r="E163" s="11">
        <v>0</v>
      </c>
      <c r="F163" s="9">
        <v>3</v>
      </c>
    </row>
    <row r="164" spans="1:7" x14ac:dyDescent="0.25">
      <c r="A164" s="8" t="s">
        <v>117</v>
      </c>
      <c r="B164" s="9">
        <v>3000</v>
      </c>
      <c r="C164" s="9">
        <f t="shared" ref="C164:C209" si="5">B164/2</f>
        <v>1500</v>
      </c>
      <c r="D164" s="10">
        <v>3</v>
      </c>
      <c r="E164" s="11">
        <v>0</v>
      </c>
      <c r="F164" s="9">
        <v>3</v>
      </c>
    </row>
    <row r="165" spans="1:7" x14ac:dyDescent="0.25">
      <c r="A165" s="8" t="s">
        <v>123</v>
      </c>
      <c r="B165" s="9">
        <v>4600</v>
      </c>
      <c r="C165" s="9">
        <f t="shared" si="5"/>
        <v>2300</v>
      </c>
      <c r="D165" s="10">
        <v>3</v>
      </c>
      <c r="E165" s="11">
        <v>0</v>
      </c>
      <c r="F165" s="9">
        <v>3</v>
      </c>
    </row>
    <row r="166" spans="1:7" x14ac:dyDescent="0.25">
      <c r="A166" s="8" t="s">
        <v>121</v>
      </c>
      <c r="B166" s="9">
        <v>7120</v>
      </c>
      <c r="C166" s="9">
        <f t="shared" si="5"/>
        <v>3560</v>
      </c>
      <c r="D166" s="10">
        <v>3</v>
      </c>
      <c r="E166" s="11">
        <v>0</v>
      </c>
      <c r="F166" s="9">
        <v>3</v>
      </c>
    </row>
    <row r="167" spans="1:7" x14ac:dyDescent="0.25">
      <c r="A167" s="8" t="s">
        <v>249</v>
      </c>
      <c r="B167" s="9" t="s">
        <v>266</v>
      </c>
      <c r="C167" s="9">
        <v>1</v>
      </c>
      <c r="D167" s="10">
        <v>2</v>
      </c>
      <c r="E167" s="11">
        <v>0</v>
      </c>
      <c r="F167" s="9">
        <v>2</v>
      </c>
      <c r="G167" s="33" t="s">
        <v>286</v>
      </c>
    </row>
    <row r="168" spans="1:7" x14ac:dyDescent="0.25">
      <c r="A168" s="8" t="s">
        <v>119</v>
      </c>
      <c r="B168" s="9">
        <v>20000</v>
      </c>
      <c r="C168" s="9">
        <v>7000</v>
      </c>
      <c r="D168" s="10">
        <v>3</v>
      </c>
      <c r="E168" s="11">
        <v>0</v>
      </c>
      <c r="F168" s="9">
        <v>3</v>
      </c>
    </row>
    <row r="169" spans="1:7" x14ac:dyDescent="0.25">
      <c r="A169" s="8" t="s">
        <v>255</v>
      </c>
      <c r="B169" s="9" t="s">
        <v>266</v>
      </c>
      <c r="C169" s="9">
        <v>9500</v>
      </c>
      <c r="D169" s="10">
        <v>8</v>
      </c>
      <c r="E169" s="11">
        <v>0</v>
      </c>
      <c r="F169" s="9">
        <v>8</v>
      </c>
    </row>
    <row r="170" spans="1:7" x14ac:dyDescent="0.25">
      <c r="A170" s="8" t="s">
        <v>156</v>
      </c>
      <c r="B170" s="9">
        <v>270</v>
      </c>
      <c r="C170" s="9">
        <f t="shared" si="5"/>
        <v>135</v>
      </c>
      <c r="D170" s="10">
        <v>7</v>
      </c>
      <c r="E170" s="11">
        <v>0</v>
      </c>
      <c r="F170" s="9">
        <v>7</v>
      </c>
    </row>
    <row r="171" spans="1:7" x14ac:dyDescent="0.25">
      <c r="A171" s="8" t="s">
        <v>164</v>
      </c>
      <c r="B171" s="9">
        <v>400</v>
      </c>
      <c r="C171" s="9">
        <f t="shared" si="5"/>
        <v>200</v>
      </c>
      <c r="D171" s="10">
        <v>6</v>
      </c>
      <c r="E171" s="11">
        <v>0</v>
      </c>
      <c r="F171" s="9">
        <v>6</v>
      </c>
    </row>
    <row r="172" spans="1:7" x14ac:dyDescent="0.25">
      <c r="A172" s="8" t="s">
        <v>155</v>
      </c>
      <c r="B172" s="9">
        <v>530</v>
      </c>
      <c r="C172" s="9">
        <f t="shared" si="5"/>
        <v>265</v>
      </c>
      <c r="D172" s="10">
        <v>3</v>
      </c>
      <c r="E172" s="11">
        <v>0</v>
      </c>
      <c r="F172" s="9">
        <v>3</v>
      </c>
      <c r="G172" s="33" t="s">
        <v>286</v>
      </c>
    </row>
    <row r="173" spans="1:7" x14ac:dyDescent="0.25">
      <c r="A173" s="8" t="s">
        <v>149</v>
      </c>
      <c r="B173" s="9">
        <v>670</v>
      </c>
      <c r="C173" s="9">
        <f t="shared" si="5"/>
        <v>335</v>
      </c>
      <c r="D173" s="10">
        <v>7</v>
      </c>
      <c r="E173" s="11">
        <v>0</v>
      </c>
      <c r="F173" s="9">
        <v>7</v>
      </c>
    </row>
    <row r="174" spans="1:7" x14ac:dyDescent="0.25">
      <c r="A174" s="8" t="s">
        <v>150</v>
      </c>
      <c r="B174" s="9">
        <v>810</v>
      </c>
      <c r="C174" s="9">
        <f t="shared" si="5"/>
        <v>405</v>
      </c>
      <c r="D174" s="10">
        <v>3</v>
      </c>
      <c r="E174" s="11">
        <v>0</v>
      </c>
      <c r="F174" s="9">
        <v>3</v>
      </c>
      <c r="G174" s="33" t="s">
        <v>286</v>
      </c>
    </row>
    <row r="175" spans="1:7" x14ac:dyDescent="0.25">
      <c r="A175" s="8" t="s">
        <v>160</v>
      </c>
      <c r="B175" s="9">
        <v>1180</v>
      </c>
      <c r="C175" s="9">
        <f t="shared" si="5"/>
        <v>590</v>
      </c>
      <c r="D175" s="10">
        <v>7</v>
      </c>
      <c r="E175" s="11">
        <v>0</v>
      </c>
      <c r="F175" s="9">
        <v>7</v>
      </c>
      <c r="G175" s="33" t="s">
        <v>286</v>
      </c>
    </row>
    <row r="176" spans="1:7" x14ac:dyDescent="0.25">
      <c r="A176" s="8" t="s">
        <v>146</v>
      </c>
      <c r="B176" s="9">
        <v>1600</v>
      </c>
      <c r="C176" s="9">
        <f t="shared" si="5"/>
        <v>800</v>
      </c>
      <c r="D176" s="10">
        <v>7</v>
      </c>
      <c r="E176" s="11">
        <v>0</v>
      </c>
      <c r="F176" s="9">
        <v>7</v>
      </c>
    </row>
    <row r="177" spans="1:7" x14ac:dyDescent="0.25">
      <c r="A177" s="8" t="s">
        <v>158</v>
      </c>
      <c r="B177" s="9">
        <v>1850</v>
      </c>
      <c r="C177" s="9">
        <f t="shared" si="5"/>
        <v>925</v>
      </c>
      <c r="D177" s="10">
        <v>5</v>
      </c>
      <c r="E177" s="11">
        <v>0</v>
      </c>
      <c r="F177" s="9">
        <v>5</v>
      </c>
    </row>
    <row r="178" spans="1:7" x14ac:dyDescent="0.25">
      <c r="A178" s="8" t="s">
        <v>165</v>
      </c>
      <c r="B178" s="9">
        <v>2900</v>
      </c>
      <c r="C178" s="9">
        <f t="shared" si="5"/>
        <v>1450</v>
      </c>
      <c r="D178" s="10">
        <v>7</v>
      </c>
      <c r="E178" s="11">
        <v>0</v>
      </c>
      <c r="F178" s="9">
        <v>7</v>
      </c>
    </row>
    <row r="179" spans="1:7" x14ac:dyDescent="0.25">
      <c r="A179" s="8" t="s">
        <v>148</v>
      </c>
      <c r="B179" s="9">
        <v>4300</v>
      </c>
      <c r="C179" s="9">
        <f t="shared" si="5"/>
        <v>2150</v>
      </c>
      <c r="D179" s="10">
        <v>3</v>
      </c>
      <c r="E179" s="11">
        <v>0</v>
      </c>
      <c r="F179" s="9">
        <v>3</v>
      </c>
    </row>
    <row r="180" spans="1:7" x14ac:dyDescent="0.25">
      <c r="A180" s="8" t="s">
        <v>154</v>
      </c>
      <c r="B180" s="9">
        <v>5000</v>
      </c>
      <c r="C180" s="9">
        <f t="shared" si="5"/>
        <v>2500</v>
      </c>
      <c r="D180" s="10">
        <v>7</v>
      </c>
      <c r="E180" s="11">
        <v>0</v>
      </c>
      <c r="F180" s="9">
        <v>7</v>
      </c>
      <c r="G180" s="33" t="s">
        <v>286</v>
      </c>
    </row>
    <row r="181" spans="1:7" x14ac:dyDescent="0.25">
      <c r="A181" s="8" t="s">
        <v>162</v>
      </c>
      <c r="B181" s="9">
        <v>7200</v>
      </c>
      <c r="C181" s="9">
        <f t="shared" si="5"/>
        <v>3600</v>
      </c>
      <c r="D181" s="10">
        <v>7</v>
      </c>
      <c r="E181" s="11">
        <v>0</v>
      </c>
      <c r="F181" s="9">
        <v>7</v>
      </c>
    </row>
    <row r="182" spans="1:7" x14ac:dyDescent="0.25">
      <c r="A182" s="8" t="s">
        <v>153</v>
      </c>
      <c r="B182" s="9">
        <v>8700</v>
      </c>
      <c r="C182" s="9">
        <f t="shared" si="5"/>
        <v>4350</v>
      </c>
      <c r="D182" s="10">
        <v>7</v>
      </c>
      <c r="E182" s="11">
        <v>0</v>
      </c>
      <c r="F182" s="9">
        <v>7</v>
      </c>
    </row>
    <row r="183" spans="1:7" x14ac:dyDescent="0.25">
      <c r="A183" s="8" t="s">
        <v>152</v>
      </c>
      <c r="B183" s="9">
        <v>10250</v>
      </c>
      <c r="C183" s="9">
        <f t="shared" si="5"/>
        <v>5125</v>
      </c>
      <c r="D183" s="10">
        <v>7</v>
      </c>
      <c r="E183" s="11">
        <v>0</v>
      </c>
      <c r="F183" s="9">
        <v>7</v>
      </c>
    </row>
    <row r="184" spans="1:7" x14ac:dyDescent="0.25">
      <c r="A184" s="8" t="s">
        <v>159</v>
      </c>
      <c r="B184" s="9">
        <v>12200</v>
      </c>
      <c r="C184" s="9">
        <f t="shared" si="5"/>
        <v>6100</v>
      </c>
      <c r="D184" s="10">
        <v>4</v>
      </c>
      <c r="E184" s="11">
        <v>0</v>
      </c>
      <c r="F184" s="9">
        <v>4</v>
      </c>
    </row>
    <row r="185" spans="1:7" x14ac:dyDescent="0.25">
      <c r="A185" s="8" t="s">
        <v>161</v>
      </c>
      <c r="B185" s="9">
        <v>14000</v>
      </c>
      <c r="C185" s="9">
        <f t="shared" si="5"/>
        <v>7000</v>
      </c>
      <c r="D185" s="10">
        <v>3</v>
      </c>
      <c r="E185" s="11">
        <v>0</v>
      </c>
      <c r="F185" s="9">
        <v>3</v>
      </c>
    </row>
    <row r="186" spans="1:7" x14ac:dyDescent="0.25">
      <c r="A186" s="8" t="s">
        <v>151</v>
      </c>
      <c r="B186" s="9">
        <v>16300</v>
      </c>
      <c r="C186" s="9">
        <f t="shared" si="5"/>
        <v>8150</v>
      </c>
      <c r="D186" s="10">
        <v>7</v>
      </c>
      <c r="E186" s="11">
        <v>0</v>
      </c>
      <c r="F186" s="9">
        <v>7</v>
      </c>
    </row>
    <row r="187" spans="1:7" x14ac:dyDescent="0.25">
      <c r="A187" s="8" t="s">
        <v>163</v>
      </c>
      <c r="B187" s="9">
        <v>20000</v>
      </c>
      <c r="C187" s="9">
        <v>10000</v>
      </c>
      <c r="D187" s="10">
        <v>4</v>
      </c>
      <c r="E187" s="11">
        <v>0</v>
      </c>
      <c r="F187" s="9">
        <v>4</v>
      </c>
    </row>
    <row r="188" spans="1:7" x14ac:dyDescent="0.25">
      <c r="A188" s="8" t="s">
        <v>147</v>
      </c>
      <c r="B188" s="9">
        <v>26000</v>
      </c>
      <c r="C188" s="9">
        <v>11250</v>
      </c>
      <c r="D188" s="10">
        <v>3</v>
      </c>
      <c r="E188" s="11">
        <v>0</v>
      </c>
      <c r="F188" s="9">
        <v>3</v>
      </c>
    </row>
    <row r="189" spans="1:7" x14ac:dyDescent="0.25">
      <c r="A189" s="8" t="s">
        <v>167</v>
      </c>
      <c r="B189" s="9">
        <v>1000</v>
      </c>
      <c r="C189" s="9">
        <v>2000</v>
      </c>
      <c r="D189" s="10">
        <v>5</v>
      </c>
      <c r="E189" s="11">
        <v>0</v>
      </c>
      <c r="F189" s="9">
        <v>5</v>
      </c>
    </row>
    <row r="190" spans="1:7" x14ac:dyDescent="0.25">
      <c r="A190" s="8" t="s">
        <v>171</v>
      </c>
      <c r="B190" s="9">
        <v>2000</v>
      </c>
      <c r="C190" s="9">
        <v>2900</v>
      </c>
      <c r="D190" s="10">
        <v>5</v>
      </c>
      <c r="E190" s="11">
        <v>0</v>
      </c>
      <c r="F190" s="9">
        <v>5</v>
      </c>
    </row>
    <row r="191" spans="1:7" x14ac:dyDescent="0.25">
      <c r="A191" s="8" t="s">
        <v>157</v>
      </c>
      <c r="B191" s="9">
        <v>3000</v>
      </c>
      <c r="C191" s="9">
        <v>4000</v>
      </c>
      <c r="D191" s="10">
        <v>5</v>
      </c>
      <c r="E191" s="11">
        <v>0</v>
      </c>
      <c r="F191" s="9">
        <v>5</v>
      </c>
    </row>
    <row r="192" spans="1:7" x14ac:dyDescent="0.25">
      <c r="A192" s="8" t="s">
        <v>168</v>
      </c>
      <c r="B192" s="9">
        <v>6000</v>
      </c>
      <c r="C192" s="9">
        <v>8000</v>
      </c>
      <c r="D192" s="10">
        <v>2</v>
      </c>
      <c r="E192" s="11">
        <v>0</v>
      </c>
      <c r="F192" s="9">
        <v>2</v>
      </c>
    </row>
    <row r="193" spans="1:7" x14ac:dyDescent="0.25">
      <c r="A193" s="8" t="s">
        <v>172</v>
      </c>
      <c r="B193" s="9">
        <v>8000</v>
      </c>
      <c r="C193" s="9">
        <v>14500</v>
      </c>
      <c r="D193" s="10">
        <v>3</v>
      </c>
      <c r="E193" s="11">
        <v>0</v>
      </c>
      <c r="F193" s="9">
        <v>3</v>
      </c>
    </row>
    <row r="194" spans="1:7" x14ac:dyDescent="0.25">
      <c r="A194" s="8" t="s">
        <v>166</v>
      </c>
      <c r="B194" s="9">
        <v>8000</v>
      </c>
      <c r="C194" s="9">
        <v>14500</v>
      </c>
      <c r="D194" s="10">
        <v>3</v>
      </c>
      <c r="E194" s="11">
        <v>0</v>
      </c>
      <c r="F194" s="9">
        <v>3</v>
      </c>
    </row>
    <row r="195" spans="1:7" x14ac:dyDescent="0.25">
      <c r="A195" s="8" t="s">
        <v>169</v>
      </c>
      <c r="B195" s="9">
        <v>20000</v>
      </c>
      <c r="C195" s="9">
        <v>20000</v>
      </c>
      <c r="D195" s="10">
        <v>5</v>
      </c>
      <c r="E195" s="11">
        <v>0</v>
      </c>
      <c r="F195" s="9">
        <v>5</v>
      </c>
    </row>
    <row r="196" spans="1:7" x14ac:dyDescent="0.25">
      <c r="A196" s="8" t="s">
        <v>170</v>
      </c>
      <c r="B196" s="9">
        <v>30000</v>
      </c>
      <c r="C196" s="9">
        <v>26000</v>
      </c>
      <c r="D196" s="10">
        <v>5</v>
      </c>
      <c r="E196" s="11">
        <v>0</v>
      </c>
      <c r="F196" s="9">
        <v>5</v>
      </c>
    </row>
    <row r="197" spans="1:7" x14ac:dyDescent="0.25">
      <c r="A197" s="8" t="s">
        <v>187</v>
      </c>
      <c r="B197" s="9">
        <v>50000</v>
      </c>
      <c r="C197" s="9">
        <v>1</v>
      </c>
      <c r="D197" s="10">
        <v>0</v>
      </c>
      <c r="E197" s="11">
        <v>0</v>
      </c>
      <c r="F197" s="9">
        <v>0</v>
      </c>
    </row>
    <row r="198" spans="1:7" x14ac:dyDescent="0.25">
      <c r="A198" s="8" t="s">
        <v>173</v>
      </c>
      <c r="B198" s="9">
        <v>650</v>
      </c>
      <c r="C198" s="9">
        <f t="shared" si="5"/>
        <v>325</v>
      </c>
      <c r="D198" s="10">
        <v>3</v>
      </c>
      <c r="E198" s="11">
        <v>0</v>
      </c>
      <c r="F198" s="9">
        <v>3</v>
      </c>
    </row>
    <row r="199" spans="1:7" x14ac:dyDescent="0.25">
      <c r="A199" s="8" t="s">
        <v>181</v>
      </c>
      <c r="B199" s="9">
        <v>800</v>
      </c>
      <c r="C199" s="9">
        <f t="shared" si="5"/>
        <v>400</v>
      </c>
      <c r="D199" s="10">
        <v>3</v>
      </c>
      <c r="E199" s="11">
        <v>0</v>
      </c>
      <c r="F199" s="9">
        <v>3</v>
      </c>
    </row>
    <row r="200" spans="1:7" x14ac:dyDescent="0.25">
      <c r="A200" s="8" t="s">
        <v>175</v>
      </c>
      <c r="B200" s="9">
        <v>1200</v>
      </c>
      <c r="C200" s="9">
        <f t="shared" si="5"/>
        <v>600</v>
      </c>
      <c r="D200" s="10">
        <v>3</v>
      </c>
      <c r="E200" s="11">
        <v>0</v>
      </c>
      <c r="F200" s="9">
        <v>3</v>
      </c>
      <c r="G200" s="33" t="s">
        <v>286</v>
      </c>
    </row>
    <row r="201" spans="1:7" x14ac:dyDescent="0.25">
      <c r="A201" s="8" t="s">
        <v>183</v>
      </c>
      <c r="B201" s="9">
        <v>1830</v>
      </c>
      <c r="C201" s="9">
        <f t="shared" si="5"/>
        <v>915</v>
      </c>
      <c r="D201" s="10">
        <v>3</v>
      </c>
      <c r="E201" s="11">
        <v>0</v>
      </c>
      <c r="F201" s="9">
        <v>3</v>
      </c>
    </row>
    <row r="202" spans="1:7" x14ac:dyDescent="0.25">
      <c r="A202" s="8" t="s">
        <v>184</v>
      </c>
      <c r="B202" s="9">
        <v>2320</v>
      </c>
      <c r="C202" s="9">
        <f t="shared" si="5"/>
        <v>1160</v>
      </c>
      <c r="D202" s="10">
        <v>3</v>
      </c>
      <c r="E202" s="11">
        <v>0</v>
      </c>
      <c r="F202" s="9">
        <v>3</v>
      </c>
    </row>
    <row r="203" spans="1:7" x14ac:dyDescent="0.25">
      <c r="A203" s="8" t="s">
        <v>179</v>
      </c>
      <c r="B203" s="9">
        <v>2950</v>
      </c>
      <c r="C203" s="9">
        <f t="shared" si="5"/>
        <v>1475</v>
      </c>
      <c r="D203" s="10">
        <v>3</v>
      </c>
      <c r="E203" s="11">
        <v>0</v>
      </c>
      <c r="F203" s="9">
        <v>3</v>
      </c>
      <c r="G203" s="33" t="s">
        <v>286</v>
      </c>
    </row>
    <row r="204" spans="1:7" x14ac:dyDescent="0.25">
      <c r="A204" s="8" t="s">
        <v>186</v>
      </c>
      <c r="B204" s="9">
        <v>4300</v>
      </c>
      <c r="C204" s="9">
        <f t="shared" si="5"/>
        <v>2150</v>
      </c>
      <c r="D204" s="10">
        <v>3</v>
      </c>
      <c r="E204" s="11">
        <v>0</v>
      </c>
      <c r="F204" s="9">
        <v>3</v>
      </c>
    </row>
    <row r="205" spans="1:7" x14ac:dyDescent="0.25">
      <c r="A205" s="8" t="s">
        <v>176</v>
      </c>
      <c r="B205" s="9">
        <v>5900</v>
      </c>
      <c r="C205" s="9">
        <f t="shared" si="5"/>
        <v>2950</v>
      </c>
      <c r="D205" s="10">
        <v>3</v>
      </c>
      <c r="E205" s="11">
        <v>0</v>
      </c>
      <c r="F205" s="9">
        <v>3</v>
      </c>
    </row>
    <row r="206" spans="1:7" x14ac:dyDescent="0.25">
      <c r="A206" s="8" t="s">
        <v>177</v>
      </c>
      <c r="B206" s="9">
        <v>8800</v>
      </c>
      <c r="C206" s="9">
        <f t="shared" si="5"/>
        <v>4400</v>
      </c>
      <c r="D206" s="10">
        <v>3</v>
      </c>
      <c r="E206" s="11">
        <v>0</v>
      </c>
      <c r="F206" s="9">
        <v>3</v>
      </c>
      <c r="G206" s="33" t="s">
        <v>286</v>
      </c>
    </row>
    <row r="207" spans="1:7" x14ac:dyDescent="0.25">
      <c r="A207" s="8" t="s">
        <v>185</v>
      </c>
      <c r="B207" s="9">
        <v>10500</v>
      </c>
      <c r="C207" s="9">
        <f t="shared" si="5"/>
        <v>5250</v>
      </c>
      <c r="D207" s="10">
        <v>3</v>
      </c>
      <c r="E207" s="11">
        <v>0</v>
      </c>
      <c r="F207" s="9">
        <v>3</v>
      </c>
    </row>
    <row r="208" spans="1:7" x14ac:dyDescent="0.25">
      <c r="A208" s="8" t="s">
        <v>174</v>
      </c>
      <c r="B208" s="9">
        <v>12300</v>
      </c>
      <c r="C208" s="9">
        <f t="shared" si="5"/>
        <v>6150</v>
      </c>
      <c r="D208" s="10">
        <v>3</v>
      </c>
      <c r="E208" s="11">
        <v>0</v>
      </c>
      <c r="F208" s="9">
        <v>3</v>
      </c>
    </row>
    <row r="209" spans="1:7" x14ac:dyDescent="0.25">
      <c r="A209" s="8" t="s">
        <v>261</v>
      </c>
      <c r="B209" s="9">
        <v>14000</v>
      </c>
      <c r="C209" s="9">
        <f t="shared" si="5"/>
        <v>7000</v>
      </c>
      <c r="D209" s="10">
        <v>2</v>
      </c>
      <c r="E209" s="11">
        <v>0</v>
      </c>
      <c r="F209" s="9">
        <v>2</v>
      </c>
    </row>
    <row r="210" spans="1:7" x14ac:dyDescent="0.25">
      <c r="A210" s="8" t="s">
        <v>178</v>
      </c>
      <c r="B210" s="9" t="s">
        <v>266</v>
      </c>
      <c r="C210" s="9">
        <v>1</v>
      </c>
      <c r="D210" s="10">
        <v>2</v>
      </c>
      <c r="E210" s="11">
        <v>0</v>
      </c>
      <c r="F210" s="9">
        <v>2</v>
      </c>
      <c r="G210" s="33" t="s">
        <v>286</v>
      </c>
    </row>
    <row r="211" spans="1:7" x14ac:dyDescent="0.25">
      <c r="A211" s="8" t="s">
        <v>182</v>
      </c>
      <c r="B211" s="9" t="s">
        <v>266</v>
      </c>
      <c r="C211" s="9">
        <v>11300</v>
      </c>
      <c r="D211" s="10">
        <v>1</v>
      </c>
      <c r="E211" s="11">
        <v>0</v>
      </c>
      <c r="F211" s="9">
        <v>1</v>
      </c>
    </row>
    <row r="212" spans="1:7" x14ac:dyDescent="0.25">
      <c r="A212" s="8" t="s">
        <v>180</v>
      </c>
      <c r="B212" s="9">
        <v>45000</v>
      </c>
      <c r="C212" s="9">
        <v>14000</v>
      </c>
      <c r="D212" s="10">
        <v>3</v>
      </c>
      <c r="E212" s="11">
        <v>0</v>
      </c>
      <c r="F212" s="9">
        <v>3</v>
      </c>
    </row>
    <row r="213" spans="1:7" x14ac:dyDescent="0.25">
      <c r="A213" s="8" t="s">
        <v>199</v>
      </c>
      <c r="B213" s="9">
        <v>300</v>
      </c>
      <c r="C213" s="9">
        <v>750</v>
      </c>
      <c r="D213" s="10">
        <v>9</v>
      </c>
      <c r="E213" s="11">
        <v>0</v>
      </c>
      <c r="F213" s="9">
        <v>9</v>
      </c>
    </row>
    <row r="214" spans="1:7" x14ac:dyDescent="0.25">
      <c r="A214" s="8" t="s">
        <v>209</v>
      </c>
      <c r="B214" s="9">
        <v>1500</v>
      </c>
      <c r="C214" s="9">
        <v>3750</v>
      </c>
      <c r="D214" s="10">
        <v>9</v>
      </c>
      <c r="E214" s="11">
        <v>0</v>
      </c>
      <c r="F214" s="9">
        <v>9</v>
      </c>
    </row>
    <row r="215" spans="1:7" x14ac:dyDescent="0.25">
      <c r="A215" s="8" t="s">
        <v>205</v>
      </c>
      <c r="B215" s="9">
        <v>900</v>
      </c>
      <c r="C215" s="9">
        <v>2000</v>
      </c>
      <c r="D215" s="10">
        <v>9</v>
      </c>
      <c r="E215" s="11">
        <v>0</v>
      </c>
      <c r="F215" s="9">
        <v>9</v>
      </c>
    </row>
    <row r="216" spans="1:7" x14ac:dyDescent="0.25">
      <c r="A216" s="8" t="s">
        <v>226</v>
      </c>
      <c r="B216" s="9" t="s">
        <v>266</v>
      </c>
      <c r="C216" s="9">
        <v>600</v>
      </c>
      <c r="D216" s="10">
        <v>8</v>
      </c>
      <c r="E216" s="11">
        <v>0</v>
      </c>
      <c r="F216" s="9">
        <v>8</v>
      </c>
    </row>
    <row r="217" spans="1:7" x14ac:dyDescent="0.25">
      <c r="A217" s="8" t="s">
        <v>204</v>
      </c>
      <c r="B217" s="9">
        <v>4000</v>
      </c>
      <c r="C217" s="9">
        <v>3000</v>
      </c>
      <c r="D217" s="10">
        <v>9</v>
      </c>
      <c r="E217" s="11">
        <v>0</v>
      </c>
      <c r="F217" s="9">
        <v>9</v>
      </c>
    </row>
    <row r="218" spans="1:7" x14ac:dyDescent="0.25">
      <c r="A218" s="8" t="s">
        <v>194</v>
      </c>
      <c r="B218" s="9">
        <v>6500</v>
      </c>
      <c r="C218" s="9">
        <v>10500</v>
      </c>
      <c r="D218" s="10">
        <v>9</v>
      </c>
      <c r="E218" s="11">
        <v>0</v>
      </c>
      <c r="F218" s="9">
        <v>9</v>
      </c>
    </row>
    <row r="219" spans="1:7" x14ac:dyDescent="0.25">
      <c r="A219" s="8" t="s">
        <v>225</v>
      </c>
      <c r="B219" s="9" t="s">
        <v>266</v>
      </c>
      <c r="C219" s="9">
        <v>16500</v>
      </c>
      <c r="D219" s="10">
        <v>4</v>
      </c>
      <c r="E219" s="11">
        <v>0</v>
      </c>
      <c r="F219" s="9">
        <v>4</v>
      </c>
      <c r="G219" s="33" t="s">
        <v>286</v>
      </c>
    </row>
    <row r="220" spans="1:7" x14ac:dyDescent="0.25">
      <c r="A220" s="8" t="s">
        <v>191</v>
      </c>
      <c r="B220" s="9">
        <v>4000</v>
      </c>
      <c r="C220" s="9">
        <v>1600</v>
      </c>
      <c r="D220" s="10">
        <v>5</v>
      </c>
      <c r="E220" s="11">
        <v>0</v>
      </c>
      <c r="F220" s="9">
        <v>5</v>
      </c>
    </row>
    <row r="221" spans="1:7" x14ac:dyDescent="0.25">
      <c r="A221" s="8" t="s">
        <v>215</v>
      </c>
      <c r="B221" s="9">
        <v>2000</v>
      </c>
      <c r="C221" s="9">
        <v>3500</v>
      </c>
      <c r="D221" s="10">
        <v>9</v>
      </c>
      <c r="E221" s="11">
        <v>0</v>
      </c>
      <c r="F221" s="9">
        <v>9</v>
      </c>
    </row>
    <row r="222" spans="1:7" x14ac:dyDescent="0.25">
      <c r="A222" s="8" t="s">
        <v>195</v>
      </c>
      <c r="B222" s="9">
        <v>4000</v>
      </c>
      <c r="C222" s="9">
        <v>5500</v>
      </c>
      <c r="D222" s="10">
        <v>9</v>
      </c>
      <c r="E222" s="11">
        <v>0</v>
      </c>
      <c r="F222" s="9">
        <v>9</v>
      </c>
    </row>
    <row r="223" spans="1:7" x14ac:dyDescent="0.25">
      <c r="A223" s="8" t="s">
        <v>206</v>
      </c>
      <c r="B223" s="9">
        <v>500</v>
      </c>
      <c r="C223" s="9">
        <v>800</v>
      </c>
      <c r="D223" s="10">
        <v>9</v>
      </c>
      <c r="E223" s="11">
        <v>0</v>
      </c>
      <c r="F223" s="9">
        <v>9</v>
      </c>
    </row>
    <row r="224" spans="1:7" x14ac:dyDescent="0.25">
      <c r="A224" s="8" t="s">
        <v>208</v>
      </c>
      <c r="B224" s="9">
        <v>3000</v>
      </c>
      <c r="C224" s="9">
        <v>3750</v>
      </c>
      <c r="D224" s="10">
        <v>9</v>
      </c>
      <c r="E224" s="11">
        <v>0</v>
      </c>
      <c r="F224" s="9">
        <v>9</v>
      </c>
    </row>
    <row r="225" spans="1:7" x14ac:dyDescent="0.25">
      <c r="A225" s="8" t="s">
        <v>223</v>
      </c>
      <c r="B225" s="9">
        <v>24000</v>
      </c>
      <c r="C225" s="9">
        <v>18000</v>
      </c>
      <c r="D225" s="10">
        <v>9</v>
      </c>
      <c r="E225" s="11">
        <v>0</v>
      </c>
      <c r="F225" s="9">
        <v>9</v>
      </c>
    </row>
    <row r="226" spans="1:7" x14ac:dyDescent="0.25">
      <c r="A226" s="8" t="s">
        <v>221</v>
      </c>
      <c r="B226" s="9">
        <v>7000</v>
      </c>
      <c r="C226" s="9">
        <v>3500</v>
      </c>
      <c r="D226" s="10">
        <v>9</v>
      </c>
      <c r="E226" s="11">
        <v>0</v>
      </c>
      <c r="F226" s="9">
        <v>9</v>
      </c>
    </row>
    <row r="227" spans="1:7" x14ac:dyDescent="0.25">
      <c r="A227" s="8" t="s">
        <v>197</v>
      </c>
      <c r="B227" s="9">
        <v>1200</v>
      </c>
      <c r="C227" s="9">
        <v>2000</v>
      </c>
      <c r="D227" s="10">
        <v>9</v>
      </c>
      <c r="E227" s="11">
        <v>0</v>
      </c>
      <c r="F227" s="9">
        <v>9</v>
      </c>
    </row>
    <row r="228" spans="1:7" x14ac:dyDescent="0.25">
      <c r="A228" s="8" t="s">
        <v>216</v>
      </c>
      <c r="B228" s="9" t="s">
        <v>266</v>
      </c>
      <c r="C228" s="9">
        <v>4500</v>
      </c>
      <c r="D228" s="10">
        <v>10</v>
      </c>
      <c r="E228" s="11">
        <v>0</v>
      </c>
      <c r="F228" s="9">
        <v>10</v>
      </c>
      <c r="G228" s="33" t="s">
        <v>286</v>
      </c>
    </row>
    <row r="229" spans="1:7" x14ac:dyDescent="0.25">
      <c r="A229" s="8" t="s">
        <v>220</v>
      </c>
      <c r="B229" s="9" t="s">
        <v>266</v>
      </c>
      <c r="C229" s="9">
        <v>5000</v>
      </c>
      <c r="D229" s="10">
        <v>2</v>
      </c>
      <c r="E229" s="11">
        <v>0</v>
      </c>
      <c r="F229" s="9">
        <v>2</v>
      </c>
      <c r="G229" s="33" t="s">
        <v>286</v>
      </c>
    </row>
    <row r="230" spans="1:7" x14ac:dyDescent="0.25">
      <c r="A230" s="8" t="s">
        <v>217</v>
      </c>
      <c r="B230" s="9" t="s">
        <v>266</v>
      </c>
      <c r="C230" s="9">
        <v>20000</v>
      </c>
      <c r="D230" s="10">
        <v>9</v>
      </c>
      <c r="E230" s="11">
        <v>0</v>
      </c>
      <c r="F230" s="9">
        <v>9</v>
      </c>
    </row>
    <row r="231" spans="1:7" x14ac:dyDescent="0.25">
      <c r="A231" s="8" t="s">
        <v>219</v>
      </c>
      <c r="B231" s="9" t="s">
        <v>266</v>
      </c>
      <c r="C231" s="9">
        <v>1</v>
      </c>
      <c r="D231" s="10">
        <v>3</v>
      </c>
      <c r="E231" s="11">
        <v>0</v>
      </c>
      <c r="F231" s="9">
        <v>3</v>
      </c>
      <c r="G231" s="33" t="s">
        <v>286</v>
      </c>
    </row>
    <row r="232" spans="1:7" x14ac:dyDescent="0.25">
      <c r="A232" s="8" t="s">
        <v>218</v>
      </c>
      <c r="B232" s="9" t="s">
        <v>266</v>
      </c>
      <c r="C232" s="9">
        <v>25000</v>
      </c>
      <c r="D232" s="10">
        <v>1</v>
      </c>
      <c r="E232" s="11">
        <v>0</v>
      </c>
      <c r="F232" s="9">
        <v>1</v>
      </c>
      <c r="G232" s="33" t="s">
        <v>286</v>
      </c>
    </row>
    <row r="233" spans="1:7" x14ac:dyDescent="0.25">
      <c r="A233" s="8" t="s">
        <v>229</v>
      </c>
      <c r="B233" s="9">
        <v>400</v>
      </c>
      <c r="C233" s="9">
        <v>900</v>
      </c>
      <c r="D233" s="10">
        <v>9</v>
      </c>
      <c r="E233" s="11">
        <v>0</v>
      </c>
      <c r="F233" s="9">
        <v>9</v>
      </c>
    </row>
    <row r="234" spans="1:7" x14ac:dyDescent="0.25">
      <c r="A234" s="8" t="s">
        <v>207</v>
      </c>
      <c r="B234" s="9">
        <v>1300</v>
      </c>
      <c r="C234" s="9">
        <v>2000</v>
      </c>
      <c r="D234" s="10">
        <v>9</v>
      </c>
      <c r="E234" s="11">
        <v>0</v>
      </c>
      <c r="F234" s="9">
        <v>9</v>
      </c>
    </row>
    <row r="235" spans="1:7" x14ac:dyDescent="0.25">
      <c r="A235" s="8" t="s">
        <v>203</v>
      </c>
      <c r="B235" s="9">
        <v>3200</v>
      </c>
      <c r="C235" s="9">
        <v>3000</v>
      </c>
      <c r="D235" s="10">
        <v>9</v>
      </c>
      <c r="E235" s="11">
        <v>0</v>
      </c>
      <c r="F235" s="9">
        <v>9</v>
      </c>
    </row>
    <row r="236" spans="1:7" x14ac:dyDescent="0.25">
      <c r="A236" s="8" t="s">
        <v>190</v>
      </c>
      <c r="B236" s="9">
        <v>8000</v>
      </c>
      <c r="C236" s="9">
        <v>10000</v>
      </c>
      <c r="D236" s="10">
        <v>4</v>
      </c>
      <c r="E236" s="11">
        <v>0</v>
      </c>
      <c r="F236" s="9">
        <v>4</v>
      </c>
    </row>
    <row r="237" spans="1:7" x14ac:dyDescent="0.25">
      <c r="A237" s="8" t="s">
        <v>212</v>
      </c>
      <c r="B237" s="9" t="s">
        <v>266</v>
      </c>
      <c r="C237" s="9">
        <v>2000</v>
      </c>
      <c r="D237" s="10">
        <v>4</v>
      </c>
      <c r="E237" s="11">
        <v>0</v>
      </c>
      <c r="F237" s="9">
        <v>4</v>
      </c>
    </row>
    <row r="238" spans="1:7" x14ac:dyDescent="0.25">
      <c r="A238" s="8" t="s">
        <v>196</v>
      </c>
      <c r="B238" s="9">
        <v>1000</v>
      </c>
      <c r="C238" s="9">
        <v>1500</v>
      </c>
      <c r="D238" s="10">
        <v>4</v>
      </c>
      <c r="E238" s="11">
        <v>0</v>
      </c>
      <c r="F238" s="9">
        <v>4</v>
      </c>
    </row>
    <row r="239" spans="1:7" x14ac:dyDescent="0.25">
      <c r="A239" s="8" t="s">
        <v>193</v>
      </c>
      <c r="B239" s="9">
        <v>1800</v>
      </c>
      <c r="C239" s="9">
        <v>3500</v>
      </c>
      <c r="D239" s="10">
        <v>4</v>
      </c>
      <c r="E239" s="11">
        <v>0</v>
      </c>
      <c r="F239" s="9">
        <v>4</v>
      </c>
    </row>
    <row r="240" spans="1:7" x14ac:dyDescent="0.25">
      <c r="A240" s="8" t="s">
        <v>202</v>
      </c>
      <c r="B240" s="9">
        <v>3500</v>
      </c>
      <c r="C240" s="9">
        <v>5000</v>
      </c>
      <c r="D240" s="10">
        <v>4</v>
      </c>
      <c r="E240" s="11">
        <v>0</v>
      </c>
      <c r="F240" s="9">
        <v>4</v>
      </c>
    </row>
    <row r="241" spans="1:7" x14ac:dyDescent="0.25">
      <c r="A241" s="8" t="s">
        <v>222</v>
      </c>
      <c r="B241" s="9" t="s">
        <v>266</v>
      </c>
      <c r="C241" s="9">
        <v>1</v>
      </c>
      <c r="D241" s="10">
        <v>4</v>
      </c>
      <c r="E241" s="11">
        <v>0</v>
      </c>
      <c r="F241" s="9">
        <v>4</v>
      </c>
      <c r="G241" s="33" t="s">
        <v>286</v>
      </c>
    </row>
    <row r="242" spans="1:7" x14ac:dyDescent="0.25">
      <c r="A242" s="8" t="s">
        <v>250</v>
      </c>
      <c r="B242" s="9" t="s">
        <v>266</v>
      </c>
      <c r="C242" s="9">
        <v>1</v>
      </c>
      <c r="D242" s="10">
        <v>2</v>
      </c>
      <c r="E242" s="11">
        <v>0</v>
      </c>
      <c r="F242" s="9">
        <v>2</v>
      </c>
    </row>
    <row r="243" spans="1:7" x14ac:dyDescent="0.25">
      <c r="A243" s="8" t="s">
        <v>189</v>
      </c>
      <c r="B243" s="9" t="s">
        <v>266</v>
      </c>
      <c r="C243" s="9">
        <v>1</v>
      </c>
      <c r="D243" s="10">
        <v>1</v>
      </c>
      <c r="E243" s="11">
        <v>0</v>
      </c>
      <c r="F243" s="9">
        <v>1</v>
      </c>
    </row>
    <row r="244" spans="1:7" x14ac:dyDescent="0.25">
      <c r="A244" s="8" t="s">
        <v>71</v>
      </c>
      <c r="B244" s="9">
        <v>350</v>
      </c>
      <c r="C244" s="9">
        <v>1</v>
      </c>
      <c r="D244" s="10">
        <v>99</v>
      </c>
      <c r="E244" s="11">
        <v>0</v>
      </c>
      <c r="F244" s="9">
        <v>99</v>
      </c>
    </row>
    <row r="245" spans="1:7" x14ac:dyDescent="0.25">
      <c r="A245" s="8" t="s">
        <v>188</v>
      </c>
      <c r="B245" s="9">
        <v>200</v>
      </c>
      <c r="C245" s="9">
        <v>1</v>
      </c>
      <c r="D245" s="10">
        <v>99</v>
      </c>
      <c r="E245" s="11">
        <v>0</v>
      </c>
      <c r="F245" s="9">
        <v>99</v>
      </c>
    </row>
    <row r="246" spans="1:7" x14ac:dyDescent="0.25">
      <c r="A246" s="8" t="s">
        <v>192</v>
      </c>
      <c r="B246" s="9" t="s">
        <v>266</v>
      </c>
      <c r="C246" s="9">
        <v>1</v>
      </c>
      <c r="D246" s="10">
        <v>99</v>
      </c>
      <c r="E246" s="11">
        <v>0</v>
      </c>
      <c r="F246" s="9">
        <v>99</v>
      </c>
    </row>
    <row r="247" spans="1:7" x14ac:dyDescent="0.25">
      <c r="A247" s="8" t="s">
        <v>200</v>
      </c>
      <c r="B247" s="9" t="s">
        <v>266</v>
      </c>
      <c r="C247" s="9">
        <v>1</v>
      </c>
      <c r="D247" s="10">
        <v>3</v>
      </c>
      <c r="E247" s="11">
        <v>0</v>
      </c>
      <c r="F247" s="9">
        <v>3</v>
      </c>
      <c r="G247" s="33" t="s">
        <v>286</v>
      </c>
    </row>
    <row r="248" spans="1:7" x14ac:dyDescent="0.25">
      <c r="A248" s="8" t="s">
        <v>201</v>
      </c>
      <c r="B248" s="9" t="s">
        <v>266</v>
      </c>
      <c r="C248" s="9">
        <v>1</v>
      </c>
      <c r="D248" s="10">
        <v>2</v>
      </c>
      <c r="E248" s="11">
        <v>0</v>
      </c>
      <c r="F248" s="9">
        <v>2</v>
      </c>
      <c r="G248" s="33" t="s">
        <v>286</v>
      </c>
    </row>
    <row r="249" spans="1:7" x14ac:dyDescent="0.25">
      <c r="A249" s="8" t="s">
        <v>210</v>
      </c>
      <c r="B249" s="9" t="s">
        <v>266</v>
      </c>
      <c r="C249" s="9">
        <v>1</v>
      </c>
      <c r="D249" s="10">
        <v>3</v>
      </c>
      <c r="E249" s="11">
        <v>0</v>
      </c>
      <c r="F249" s="9">
        <v>3</v>
      </c>
      <c r="G249" s="33" t="s">
        <v>286</v>
      </c>
    </row>
    <row r="250" spans="1:7" x14ac:dyDescent="0.25">
      <c r="A250" s="8" t="s">
        <v>224</v>
      </c>
      <c r="B250" s="9" t="s">
        <v>266</v>
      </c>
      <c r="C250" s="9">
        <v>1</v>
      </c>
      <c r="D250" s="10">
        <v>2</v>
      </c>
      <c r="E250" s="11">
        <v>0</v>
      </c>
      <c r="F250" s="9">
        <v>2</v>
      </c>
      <c r="G250" s="33" t="s">
        <v>286</v>
      </c>
    </row>
    <row r="251" spans="1:7" x14ac:dyDescent="0.25">
      <c r="A251" s="8" t="s">
        <v>213</v>
      </c>
      <c r="B251" s="9">
        <v>100</v>
      </c>
      <c r="C251" s="9">
        <v>1</v>
      </c>
      <c r="D251" s="10">
        <v>99</v>
      </c>
      <c r="E251" s="11">
        <v>0</v>
      </c>
      <c r="F251" s="9">
        <v>99</v>
      </c>
    </row>
    <row r="252" spans="1:7" x14ac:dyDescent="0.25">
      <c r="A252" s="8" t="s">
        <v>227</v>
      </c>
      <c r="B252" s="9">
        <v>200</v>
      </c>
      <c r="C252" s="9">
        <v>1</v>
      </c>
      <c r="D252" s="10">
        <v>99</v>
      </c>
      <c r="E252" s="11">
        <v>0</v>
      </c>
      <c r="F252" s="9">
        <v>99</v>
      </c>
    </row>
    <row r="253" spans="1:7" x14ac:dyDescent="0.25">
      <c r="A253" s="8" t="s">
        <v>211</v>
      </c>
      <c r="B253" s="9">
        <v>100</v>
      </c>
      <c r="C253" s="9">
        <v>1</v>
      </c>
      <c r="D253" s="10">
        <v>99</v>
      </c>
      <c r="E253" s="11">
        <v>0</v>
      </c>
      <c r="F253" s="9">
        <v>99</v>
      </c>
    </row>
    <row r="254" spans="1:7" x14ac:dyDescent="0.25">
      <c r="A254" s="8" t="s">
        <v>228</v>
      </c>
      <c r="B254" s="9">
        <v>100</v>
      </c>
      <c r="C254" s="9">
        <v>1</v>
      </c>
      <c r="D254" s="10">
        <v>99</v>
      </c>
      <c r="E254" s="11">
        <v>0</v>
      </c>
      <c r="F254" s="9">
        <v>99</v>
      </c>
    </row>
    <row r="255" spans="1:7" x14ac:dyDescent="0.25">
      <c r="A255" s="8" t="s">
        <v>256</v>
      </c>
      <c r="B255" s="9">
        <v>400</v>
      </c>
      <c r="C255" s="9">
        <v>1</v>
      </c>
      <c r="D255" s="10">
        <v>99</v>
      </c>
      <c r="E255" s="11">
        <v>0</v>
      </c>
      <c r="F255" s="9">
        <v>99</v>
      </c>
    </row>
    <row r="256" spans="1:7" x14ac:dyDescent="0.25">
      <c r="A256" s="8" t="s">
        <v>236</v>
      </c>
      <c r="B256" s="9" t="s">
        <v>266</v>
      </c>
      <c r="C256" s="9">
        <v>150</v>
      </c>
      <c r="D256" s="10">
        <v>99</v>
      </c>
      <c r="E256" s="11">
        <v>0</v>
      </c>
      <c r="F256" s="9">
        <v>99</v>
      </c>
    </row>
  </sheetData>
  <sheetProtection password="C81A" sheet="1" objects="1" scenarios="1" selectLockedCells="1"/>
  <pageMargins left="0.7" right="0.7" top="0.75" bottom="0.75" header="0.3" footer="0.3"/>
  <pageSetup orientation="portrait" horizontalDpi="200" verticalDpi="20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7"/>
  <sheetViews>
    <sheetView zoomScaleNormal="100" workbookViewId="0">
      <pane ySplit="1" topLeftCell="A2" activePane="bottomLeft" state="frozen"/>
      <selection pane="bottomLeft" activeCell="C2" sqref="C2:C6"/>
    </sheetView>
  </sheetViews>
  <sheetFormatPr defaultRowHeight="15" x14ac:dyDescent="0.25"/>
  <cols>
    <col min="1" max="1" width="15.5703125" style="51" bestFit="1" customWidth="1"/>
    <col min="2" max="2" width="49.28515625" style="49" bestFit="1" customWidth="1"/>
    <col min="3" max="3" width="16.140625" style="51" bestFit="1" customWidth="1"/>
    <col min="4" max="4" width="61" style="49" bestFit="1" customWidth="1"/>
    <col min="5" max="16384" width="9.140625" style="49"/>
  </cols>
  <sheetData>
    <row r="1" spans="1:16" s="52" customFormat="1" ht="15" customHeight="1" x14ac:dyDescent="0.25">
      <c r="A1" s="52" t="s">
        <v>0</v>
      </c>
      <c r="B1" s="52" t="s">
        <v>302</v>
      </c>
      <c r="C1" s="52" t="s">
        <v>303</v>
      </c>
      <c r="D1" s="54"/>
      <c r="E1" s="54"/>
      <c r="F1" s="54"/>
      <c r="G1" s="54"/>
      <c r="H1" s="54"/>
      <c r="I1" s="54"/>
      <c r="J1" s="54"/>
      <c r="K1" s="54"/>
      <c r="L1" s="54"/>
      <c r="M1" s="54"/>
      <c r="N1" s="54"/>
      <c r="O1" s="54"/>
      <c r="P1" s="54"/>
    </row>
    <row r="2" spans="1:16" x14ac:dyDescent="0.25">
      <c r="A2" s="82" t="s">
        <v>246</v>
      </c>
      <c r="B2" s="50" t="s">
        <v>305</v>
      </c>
      <c r="C2" s="81">
        <v>0</v>
      </c>
    </row>
    <row r="3" spans="1:16" x14ac:dyDescent="0.25">
      <c r="A3" s="82"/>
      <c r="B3" s="50" t="s">
        <v>306</v>
      </c>
      <c r="C3" s="81"/>
    </row>
    <row r="4" spans="1:16" x14ac:dyDescent="0.25">
      <c r="A4" s="82"/>
      <c r="B4" s="50" t="s">
        <v>307</v>
      </c>
      <c r="C4" s="81"/>
      <c r="D4" s="49" t="s">
        <v>316</v>
      </c>
    </row>
    <row r="5" spans="1:16" x14ac:dyDescent="0.25">
      <c r="A5" s="82"/>
      <c r="B5" s="50" t="s">
        <v>308</v>
      </c>
      <c r="C5" s="81"/>
    </row>
    <row r="6" spans="1:16" x14ac:dyDescent="0.25">
      <c r="A6" s="82"/>
      <c r="B6" s="50" t="s">
        <v>309</v>
      </c>
      <c r="C6" s="81"/>
    </row>
    <row r="7" spans="1:16" s="55" customFormat="1" x14ac:dyDescent="0.25">
      <c r="B7" s="56"/>
      <c r="C7" s="56"/>
      <c r="D7" s="56"/>
      <c r="E7" s="56"/>
      <c r="F7" s="56"/>
      <c r="G7" s="56"/>
      <c r="H7" s="56"/>
      <c r="I7" s="56"/>
      <c r="J7" s="56"/>
      <c r="K7" s="56"/>
      <c r="L7" s="56"/>
      <c r="M7" s="56"/>
      <c r="N7" s="56"/>
      <c r="O7" s="56"/>
      <c r="P7" s="56"/>
    </row>
    <row r="8" spans="1:16" x14ac:dyDescent="0.25">
      <c r="A8" s="82" t="s">
        <v>233</v>
      </c>
      <c r="B8" s="50" t="s">
        <v>311</v>
      </c>
      <c r="C8" s="81">
        <v>0</v>
      </c>
    </row>
    <row r="9" spans="1:16" x14ac:dyDescent="0.25">
      <c r="A9" s="82"/>
      <c r="B9" s="50" t="s">
        <v>312</v>
      </c>
      <c r="C9" s="81"/>
      <c r="D9" s="49" t="s">
        <v>408</v>
      </c>
    </row>
    <row r="10" spans="1:16" x14ac:dyDescent="0.25">
      <c r="A10" s="82"/>
      <c r="B10" s="50" t="s">
        <v>310</v>
      </c>
      <c r="C10" s="81"/>
    </row>
    <row r="11" spans="1:16" x14ac:dyDescent="0.25">
      <c r="A11" s="82"/>
      <c r="B11" s="50" t="s">
        <v>356</v>
      </c>
      <c r="C11" s="81"/>
    </row>
    <row r="12" spans="1:16" s="87" customFormat="1" x14ac:dyDescent="0.25">
      <c r="B12" s="88"/>
      <c r="C12" s="88"/>
      <c r="D12" s="88"/>
      <c r="E12" s="88"/>
      <c r="F12" s="88"/>
      <c r="G12" s="88"/>
      <c r="H12" s="88"/>
      <c r="I12" s="88"/>
      <c r="J12" s="88"/>
      <c r="K12" s="88"/>
      <c r="L12" s="88"/>
      <c r="M12" s="88"/>
      <c r="N12" s="88"/>
      <c r="O12" s="88"/>
      <c r="P12" s="88"/>
    </row>
    <row r="13" spans="1:16" x14ac:dyDescent="0.25">
      <c r="A13" s="51" t="s">
        <v>239</v>
      </c>
      <c r="B13" s="50" t="s">
        <v>260</v>
      </c>
      <c r="C13" s="30">
        <v>0</v>
      </c>
    </row>
    <row r="14" spans="1:16" s="60" customFormat="1" x14ac:dyDescent="0.25">
      <c r="A14" s="57"/>
      <c r="B14" s="58"/>
      <c r="C14" s="58"/>
      <c r="D14" s="58"/>
      <c r="E14" s="58"/>
      <c r="F14" s="58"/>
      <c r="G14" s="58"/>
      <c r="H14" s="58"/>
      <c r="I14" s="58"/>
      <c r="J14" s="58"/>
      <c r="K14" s="58"/>
      <c r="L14" s="58"/>
      <c r="M14" s="58"/>
      <c r="N14" s="58"/>
      <c r="O14" s="58"/>
      <c r="P14" s="59"/>
    </row>
    <row r="15" spans="1:16" x14ac:dyDescent="0.25">
      <c r="A15" s="82" t="s">
        <v>214</v>
      </c>
      <c r="B15" s="50" t="s">
        <v>376</v>
      </c>
      <c r="C15" s="81">
        <v>0</v>
      </c>
      <c r="D15" s="49" t="s">
        <v>316</v>
      </c>
    </row>
    <row r="16" spans="1:16" x14ac:dyDescent="0.25">
      <c r="A16" s="82"/>
      <c r="B16" s="50" t="s">
        <v>313</v>
      </c>
      <c r="C16" s="81"/>
    </row>
    <row r="17" spans="1:4" s="89" customFormat="1" x14ac:dyDescent="0.25"/>
    <row r="18" spans="1:4" x14ac:dyDescent="0.25">
      <c r="A18" s="82" t="s">
        <v>198</v>
      </c>
      <c r="B18" s="50" t="s">
        <v>314</v>
      </c>
      <c r="C18" s="81">
        <v>0</v>
      </c>
      <c r="D18" s="49" t="s">
        <v>424</v>
      </c>
    </row>
    <row r="19" spans="1:4" x14ac:dyDescent="0.25">
      <c r="A19" s="82"/>
      <c r="B19" s="50" t="s">
        <v>315</v>
      </c>
      <c r="C19" s="81"/>
    </row>
    <row r="20" spans="1:4" x14ac:dyDescent="0.25">
      <c r="B20" s="50"/>
    </row>
    <row r="21" spans="1:4" x14ac:dyDescent="0.25">
      <c r="A21" s="82" t="s">
        <v>64</v>
      </c>
      <c r="B21" s="50" t="s">
        <v>317</v>
      </c>
      <c r="C21" s="81">
        <v>0</v>
      </c>
      <c r="D21" s="49" t="s">
        <v>410</v>
      </c>
    </row>
    <row r="22" spans="1:4" x14ac:dyDescent="0.25">
      <c r="A22" s="82"/>
      <c r="B22" s="50" t="s">
        <v>318</v>
      </c>
      <c r="C22" s="81"/>
    </row>
    <row r="23" spans="1:4" x14ac:dyDescent="0.25">
      <c r="B23" s="50"/>
    </row>
    <row r="24" spans="1:4" x14ac:dyDescent="0.25">
      <c r="A24" s="51" t="s">
        <v>253</v>
      </c>
      <c r="B24" s="50" t="s">
        <v>319</v>
      </c>
      <c r="C24" s="30">
        <v>0</v>
      </c>
    </row>
    <row r="25" spans="1:4" x14ac:dyDescent="0.25">
      <c r="A25" s="63"/>
      <c r="B25" s="50"/>
      <c r="C25" s="63"/>
    </row>
    <row r="26" spans="1:4" x14ac:dyDescent="0.25">
      <c r="A26" s="51" t="s">
        <v>1</v>
      </c>
      <c r="B26" s="50" t="s">
        <v>268</v>
      </c>
      <c r="C26" s="30">
        <v>0</v>
      </c>
    </row>
    <row r="27" spans="1:4" x14ac:dyDescent="0.25">
      <c r="A27" s="63"/>
      <c r="B27" s="50"/>
      <c r="C27" s="63"/>
    </row>
    <row r="28" spans="1:4" x14ac:dyDescent="0.25">
      <c r="A28" s="51" t="s">
        <v>17</v>
      </c>
      <c r="B28" s="49" t="s">
        <v>381</v>
      </c>
      <c r="C28" s="30">
        <v>0</v>
      </c>
    </row>
    <row r="30" spans="1:4" x14ac:dyDescent="0.25">
      <c r="A30" s="51" t="s">
        <v>27</v>
      </c>
      <c r="B30" s="49" t="s">
        <v>268</v>
      </c>
      <c r="C30" s="30">
        <v>0</v>
      </c>
    </row>
    <row r="32" spans="1:4" x14ac:dyDescent="0.25">
      <c r="A32" s="51" t="s">
        <v>30</v>
      </c>
      <c r="B32" s="49" t="s">
        <v>319</v>
      </c>
      <c r="C32" s="30">
        <v>0</v>
      </c>
    </row>
    <row r="34" spans="1:4" x14ac:dyDescent="0.25">
      <c r="A34" s="51" t="s">
        <v>38</v>
      </c>
      <c r="B34" s="49" t="s">
        <v>269</v>
      </c>
      <c r="C34" s="30">
        <v>0</v>
      </c>
    </row>
    <row r="36" spans="1:4" x14ac:dyDescent="0.25">
      <c r="A36" s="51" t="s">
        <v>39</v>
      </c>
      <c r="B36" s="49" t="s">
        <v>320</v>
      </c>
      <c r="C36" s="30">
        <v>0</v>
      </c>
      <c r="D36" s="49" t="s">
        <v>323</v>
      </c>
    </row>
    <row r="38" spans="1:4" x14ac:dyDescent="0.25">
      <c r="A38" s="51" t="s">
        <v>42</v>
      </c>
      <c r="B38" s="49" t="s">
        <v>268</v>
      </c>
      <c r="C38" s="30">
        <v>0</v>
      </c>
    </row>
    <row r="40" spans="1:4" x14ac:dyDescent="0.25">
      <c r="A40" s="51" t="s">
        <v>50</v>
      </c>
      <c r="B40" s="49" t="s">
        <v>273</v>
      </c>
      <c r="C40" s="30">
        <v>0</v>
      </c>
    </row>
    <row r="42" spans="1:4" x14ac:dyDescent="0.25">
      <c r="A42" s="51" t="s">
        <v>51</v>
      </c>
      <c r="B42" s="49" t="s">
        <v>340</v>
      </c>
      <c r="C42" s="30">
        <v>0</v>
      </c>
    </row>
    <row r="44" spans="1:4" x14ac:dyDescent="0.25">
      <c r="A44" s="51" t="s">
        <v>52</v>
      </c>
      <c r="B44" s="49" t="s">
        <v>321</v>
      </c>
      <c r="C44" s="30">
        <v>0</v>
      </c>
    </row>
    <row r="46" spans="1:4" x14ac:dyDescent="0.25">
      <c r="A46" s="51" t="s">
        <v>56</v>
      </c>
      <c r="B46" s="49" t="s">
        <v>322</v>
      </c>
      <c r="C46" s="30">
        <v>0</v>
      </c>
    </row>
    <row r="48" spans="1:4" x14ac:dyDescent="0.25">
      <c r="A48" s="51" t="s">
        <v>59</v>
      </c>
      <c r="B48" s="49" t="s">
        <v>326</v>
      </c>
      <c r="C48" s="30">
        <v>0</v>
      </c>
      <c r="D48" s="49" t="s">
        <v>323</v>
      </c>
    </row>
    <row r="50" spans="1:4" x14ac:dyDescent="0.25">
      <c r="A50" s="51" t="s">
        <v>60</v>
      </c>
      <c r="B50" s="49" t="s">
        <v>324</v>
      </c>
      <c r="C50" s="30">
        <v>0</v>
      </c>
    </row>
    <row r="52" spans="1:4" x14ac:dyDescent="0.25">
      <c r="A52" s="51" t="s">
        <v>61</v>
      </c>
      <c r="B52" s="49" t="s">
        <v>273</v>
      </c>
      <c r="C52" s="30">
        <v>0</v>
      </c>
    </row>
    <row r="54" spans="1:4" x14ac:dyDescent="0.25">
      <c r="A54" s="51" t="s">
        <v>85</v>
      </c>
      <c r="B54" s="49" t="s">
        <v>268</v>
      </c>
      <c r="C54" s="30">
        <v>0</v>
      </c>
    </row>
    <row r="56" spans="1:4" x14ac:dyDescent="0.25">
      <c r="A56" s="51" t="s">
        <v>90</v>
      </c>
      <c r="B56" s="49" t="s">
        <v>325</v>
      </c>
      <c r="C56" s="30">
        <v>0</v>
      </c>
    </row>
    <row r="58" spans="1:4" x14ac:dyDescent="0.25">
      <c r="A58" s="51" t="s">
        <v>78</v>
      </c>
      <c r="B58" s="49" t="s">
        <v>327</v>
      </c>
      <c r="C58" s="30">
        <v>0</v>
      </c>
      <c r="D58" s="49" t="s">
        <v>323</v>
      </c>
    </row>
    <row r="60" spans="1:4" x14ac:dyDescent="0.25">
      <c r="A60" s="51" t="s">
        <v>79</v>
      </c>
      <c r="B60" s="49" t="s">
        <v>268</v>
      </c>
      <c r="C60" s="30">
        <v>0</v>
      </c>
    </row>
    <row r="62" spans="1:4" x14ac:dyDescent="0.25">
      <c r="A62" s="51" t="s">
        <v>84</v>
      </c>
      <c r="B62" s="49" t="s">
        <v>273</v>
      </c>
      <c r="C62" s="30">
        <v>0</v>
      </c>
    </row>
    <row r="64" spans="1:4" x14ac:dyDescent="0.25">
      <c r="A64" s="51" t="s">
        <v>18</v>
      </c>
      <c r="B64" s="49" t="s">
        <v>268</v>
      </c>
      <c r="C64" s="30">
        <v>0</v>
      </c>
    </row>
    <row r="66" spans="1:3" x14ac:dyDescent="0.25">
      <c r="A66" s="51" t="s">
        <v>25</v>
      </c>
      <c r="B66" s="49" t="s">
        <v>328</v>
      </c>
      <c r="C66" s="30">
        <v>0</v>
      </c>
    </row>
    <row r="68" spans="1:3" x14ac:dyDescent="0.25">
      <c r="A68" s="51" t="s">
        <v>26</v>
      </c>
      <c r="B68" s="49" t="s">
        <v>273</v>
      </c>
      <c r="C68" s="30">
        <v>0</v>
      </c>
    </row>
    <row r="70" spans="1:3" x14ac:dyDescent="0.25">
      <c r="A70" s="51" t="s">
        <v>65</v>
      </c>
      <c r="B70" s="49" t="s">
        <v>268</v>
      </c>
      <c r="C70" s="30">
        <v>0</v>
      </c>
    </row>
    <row r="72" spans="1:3" x14ac:dyDescent="0.25">
      <c r="A72" s="51" t="s">
        <v>68</v>
      </c>
      <c r="B72" s="49" t="s">
        <v>329</v>
      </c>
      <c r="C72" s="30">
        <v>0</v>
      </c>
    </row>
    <row r="74" spans="1:3" x14ac:dyDescent="0.25">
      <c r="A74" s="51" t="s">
        <v>69</v>
      </c>
      <c r="B74" s="49" t="s">
        <v>330</v>
      </c>
      <c r="C74" s="30">
        <v>0</v>
      </c>
    </row>
    <row r="76" spans="1:3" x14ac:dyDescent="0.25">
      <c r="A76" s="51" t="s">
        <v>70</v>
      </c>
      <c r="B76" s="49" t="s">
        <v>331</v>
      </c>
      <c r="C76" s="30">
        <v>0</v>
      </c>
    </row>
    <row r="78" spans="1:3" x14ac:dyDescent="0.25">
      <c r="A78" s="51" t="s">
        <v>135</v>
      </c>
      <c r="B78" s="49" t="s">
        <v>332</v>
      </c>
      <c r="C78" s="30">
        <v>0</v>
      </c>
    </row>
    <row r="80" spans="1:3" x14ac:dyDescent="0.25">
      <c r="A80" s="51" t="s">
        <v>134</v>
      </c>
      <c r="B80" s="49" t="s">
        <v>333</v>
      </c>
      <c r="C80" s="30">
        <v>0</v>
      </c>
    </row>
    <row r="82" spans="1:4" x14ac:dyDescent="0.25">
      <c r="A82" s="51" t="s">
        <v>130</v>
      </c>
      <c r="B82" s="49" t="s">
        <v>334</v>
      </c>
      <c r="C82" s="30">
        <v>0</v>
      </c>
    </row>
    <row r="84" spans="1:4" x14ac:dyDescent="0.25">
      <c r="A84" s="51" t="s">
        <v>137</v>
      </c>
      <c r="B84" s="49" t="s">
        <v>335</v>
      </c>
      <c r="C84" s="30">
        <v>0</v>
      </c>
      <c r="D84" s="49" t="s">
        <v>323</v>
      </c>
    </row>
    <row r="86" spans="1:4" x14ac:dyDescent="0.25">
      <c r="A86" s="51" t="s">
        <v>144</v>
      </c>
      <c r="B86" s="49" t="s">
        <v>336</v>
      </c>
      <c r="C86" s="30">
        <v>0</v>
      </c>
    </row>
    <row r="88" spans="1:4" x14ac:dyDescent="0.25">
      <c r="A88" s="51" t="s">
        <v>143</v>
      </c>
      <c r="B88" s="49" t="s">
        <v>337</v>
      </c>
      <c r="C88" s="30">
        <v>0</v>
      </c>
    </row>
    <row r="90" spans="1:4" x14ac:dyDescent="0.25">
      <c r="A90" s="51" t="s">
        <v>141</v>
      </c>
      <c r="B90" s="49" t="s">
        <v>338</v>
      </c>
      <c r="C90" s="30">
        <v>0</v>
      </c>
    </row>
    <row r="92" spans="1:4" x14ac:dyDescent="0.25">
      <c r="A92" s="51" t="s">
        <v>142</v>
      </c>
      <c r="B92" s="49" t="s">
        <v>339</v>
      </c>
      <c r="C92" s="30">
        <v>0</v>
      </c>
    </row>
    <row r="94" spans="1:4" x14ac:dyDescent="0.25">
      <c r="A94" s="51" t="s">
        <v>139</v>
      </c>
      <c r="B94" s="49" t="s">
        <v>340</v>
      </c>
      <c r="C94" s="30">
        <v>0</v>
      </c>
      <c r="D94" s="49" t="s">
        <v>323</v>
      </c>
    </row>
    <row r="96" spans="1:4" x14ac:dyDescent="0.25">
      <c r="A96" s="51" t="s">
        <v>111</v>
      </c>
      <c r="B96" s="49" t="s">
        <v>332</v>
      </c>
      <c r="C96" s="30">
        <v>0</v>
      </c>
    </row>
    <row r="98" spans="1:4" x14ac:dyDescent="0.25">
      <c r="A98" s="51" t="s">
        <v>304</v>
      </c>
      <c r="B98" s="49" t="s">
        <v>337</v>
      </c>
      <c r="C98" s="30">
        <v>0</v>
      </c>
    </row>
    <row r="100" spans="1:4" x14ac:dyDescent="0.25">
      <c r="A100" s="51" t="s">
        <v>103</v>
      </c>
      <c r="B100" s="49" t="s">
        <v>341</v>
      </c>
      <c r="C100" s="30">
        <v>0</v>
      </c>
      <c r="D100" s="49" t="s">
        <v>323</v>
      </c>
    </row>
    <row r="102" spans="1:4" x14ac:dyDescent="0.25">
      <c r="A102" s="51" t="s">
        <v>94</v>
      </c>
      <c r="B102" s="49" t="s">
        <v>371</v>
      </c>
      <c r="C102" s="30">
        <v>0</v>
      </c>
    </row>
    <row r="104" spans="1:4" x14ac:dyDescent="0.25">
      <c r="A104" s="51" t="s">
        <v>249</v>
      </c>
      <c r="B104" s="49" t="s">
        <v>342</v>
      </c>
      <c r="C104" s="30">
        <v>0</v>
      </c>
    </row>
    <row r="106" spans="1:4" x14ac:dyDescent="0.25">
      <c r="A106" s="82" t="s">
        <v>255</v>
      </c>
      <c r="B106" s="49" t="s">
        <v>413</v>
      </c>
      <c r="C106" s="81">
        <v>0</v>
      </c>
    </row>
    <row r="107" spans="1:4" x14ac:dyDescent="0.25">
      <c r="A107" s="82"/>
      <c r="B107" s="49" t="s">
        <v>343</v>
      </c>
      <c r="C107" s="81"/>
    </row>
    <row r="109" spans="1:4" x14ac:dyDescent="0.25">
      <c r="A109" s="51" t="s">
        <v>149</v>
      </c>
      <c r="B109" s="49" t="s">
        <v>337</v>
      </c>
      <c r="C109" s="30">
        <v>0</v>
      </c>
    </row>
    <row r="111" spans="1:4" x14ac:dyDescent="0.25">
      <c r="A111" s="51" t="s">
        <v>165</v>
      </c>
      <c r="B111" s="49" t="s">
        <v>344</v>
      </c>
      <c r="C111" s="30">
        <v>0</v>
      </c>
      <c r="D111" s="49" t="s">
        <v>323</v>
      </c>
    </row>
    <row r="113" spans="1:3" x14ac:dyDescent="0.25">
      <c r="A113" s="51" t="s">
        <v>153</v>
      </c>
      <c r="B113" s="49" t="s">
        <v>345</v>
      </c>
      <c r="C113" s="30">
        <v>0</v>
      </c>
    </row>
    <row r="115" spans="1:3" x14ac:dyDescent="0.25">
      <c r="A115" s="51" t="s">
        <v>161</v>
      </c>
      <c r="B115" s="49" t="s">
        <v>346</v>
      </c>
      <c r="C115" s="30">
        <v>0</v>
      </c>
    </row>
    <row r="117" spans="1:3" x14ac:dyDescent="0.25">
      <c r="A117" s="51" t="s">
        <v>167</v>
      </c>
      <c r="B117" s="49" t="s">
        <v>414</v>
      </c>
      <c r="C117" s="30">
        <v>0</v>
      </c>
    </row>
    <row r="119" spans="1:3" x14ac:dyDescent="0.25">
      <c r="A119" s="51" t="s">
        <v>171</v>
      </c>
      <c r="B119" s="49" t="s">
        <v>347</v>
      </c>
      <c r="C119" s="30">
        <v>0</v>
      </c>
    </row>
    <row r="121" spans="1:3" x14ac:dyDescent="0.25">
      <c r="A121" s="51" t="s">
        <v>157</v>
      </c>
      <c r="B121" s="49" t="s">
        <v>348</v>
      </c>
      <c r="C121" s="30">
        <v>0</v>
      </c>
    </row>
    <row r="123" spans="1:3" x14ac:dyDescent="0.25">
      <c r="A123" s="51" t="s">
        <v>168</v>
      </c>
      <c r="B123" s="49" t="s">
        <v>346</v>
      </c>
      <c r="C123" s="30">
        <v>0</v>
      </c>
    </row>
    <row r="125" spans="1:3" x14ac:dyDescent="0.25">
      <c r="A125" s="51" t="s">
        <v>172</v>
      </c>
      <c r="B125" s="49" t="s">
        <v>349</v>
      </c>
      <c r="C125" s="30">
        <v>0</v>
      </c>
    </row>
    <row r="127" spans="1:3" x14ac:dyDescent="0.25">
      <c r="A127" s="51" t="s">
        <v>166</v>
      </c>
      <c r="B127" s="49" t="s">
        <v>350</v>
      </c>
      <c r="C127" s="30">
        <v>0</v>
      </c>
    </row>
    <row r="129" spans="1:4" x14ac:dyDescent="0.25">
      <c r="A129" s="51" t="s">
        <v>169</v>
      </c>
      <c r="B129" s="49" t="s">
        <v>327</v>
      </c>
      <c r="C129" s="30">
        <v>0</v>
      </c>
      <c r="D129" s="49" t="s">
        <v>323</v>
      </c>
    </row>
    <row r="131" spans="1:4" x14ac:dyDescent="0.25">
      <c r="A131" s="82" t="s">
        <v>170</v>
      </c>
      <c r="B131" s="49" t="s">
        <v>357</v>
      </c>
      <c r="C131" s="81">
        <v>0</v>
      </c>
    </row>
    <row r="132" spans="1:4" x14ac:dyDescent="0.25">
      <c r="A132" s="82"/>
      <c r="B132" s="49" t="s">
        <v>404</v>
      </c>
      <c r="C132" s="81"/>
    </row>
    <row r="134" spans="1:4" x14ac:dyDescent="0.25">
      <c r="A134" s="51" t="s">
        <v>186</v>
      </c>
      <c r="B134" s="49" t="s">
        <v>345</v>
      </c>
      <c r="C134" s="30">
        <v>0</v>
      </c>
    </row>
    <row r="136" spans="1:4" x14ac:dyDescent="0.25">
      <c r="A136" s="51" t="s">
        <v>176</v>
      </c>
      <c r="B136" s="49" t="s">
        <v>351</v>
      </c>
      <c r="C136" s="30">
        <v>0</v>
      </c>
    </row>
    <row r="138" spans="1:4" x14ac:dyDescent="0.25">
      <c r="A138" s="51" t="s">
        <v>178</v>
      </c>
      <c r="B138" s="49" t="s">
        <v>352</v>
      </c>
      <c r="C138" s="30">
        <v>0</v>
      </c>
      <c r="D138" s="49" t="s">
        <v>323</v>
      </c>
    </row>
    <row r="140" spans="1:4" x14ac:dyDescent="0.25">
      <c r="A140" s="51" t="s">
        <v>182</v>
      </c>
      <c r="B140" s="49" t="s">
        <v>381</v>
      </c>
      <c r="C140" s="30">
        <v>0</v>
      </c>
    </row>
    <row r="142" spans="1:4" x14ac:dyDescent="0.25">
      <c r="A142" s="51" t="s">
        <v>226</v>
      </c>
      <c r="B142" s="49" t="s">
        <v>332</v>
      </c>
      <c r="C142" s="30">
        <v>0</v>
      </c>
    </row>
    <row r="144" spans="1:4" x14ac:dyDescent="0.25">
      <c r="A144" s="51" t="s">
        <v>204</v>
      </c>
      <c r="B144" s="49" t="s">
        <v>333</v>
      </c>
      <c r="C144" s="30">
        <v>0</v>
      </c>
    </row>
    <row r="146" spans="1:4" x14ac:dyDescent="0.25">
      <c r="A146" s="51" t="s">
        <v>194</v>
      </c>
      <c r="B146" s="49" t="s">
        <v>353</v>
      </c>
      <c r="C146" s="30">
        <v>0</v>
      </c>
    </row>
    <row r="148" spans="1:4" x14ac:dyDescent="0.25">
      <c r="A148" s="51" t="s">
        <v>225</v>
      </c>
      <c r="B148" s="49" t="s">
        <v>354</v>
      </c>
      <c r="C148" s="30">
        <v>0</v>
      </c>
    </row>
    <row r="150" spans="1:4" x14ac:dyDescent="0.25">
      <c r="A150" s="51" t="s">
        <v>191</v>
      </c>
      <c r="B150" s="49" t="s">
        <v>405</v>
      </c>
      <c r="C150" s="30">
        <v>0</v>
      </c>
      <c r="D150" s="49" t="s">
        <v>355</v>
      </c>
    </row>
    <row r="152" spans="1:4" x14ac:dyDescent="0.25">
      <c r="A152" s="51" t="s">
        <v>195</v>
      </c>
      <c r="B152" s="49" t="s">
        <v>358</v>
      </c>
      <c r="C152" s="30">
        <v>0</v>
      </c>
    </row>
    <row r="154" spans="1:4" x14ac:dyDescent="0.25">
      <c r="A154" s="51" t="s">
        <v>208</v>
      </c>
      <c r="B154" s="49" t="s">
        <v>342</v>
      </c>
      <c r="C154" s="30">
        <v>0</v>
      </c>
    </row>
    <row r="156" spans="1:4" x14ac:dyDescent="0.25">
      <c r="A156" s="82" t="s">
        <v>223</v>
      </c>
      <c r="B156" s="49" t="s">
        <v>359</v>
      </c>
      <c r="C156" s="81">
        <v>0</v>
      </c>
    </row>
    <row r="157" spans="1:4" x14ac:dyDescent="0.25">
      <c r="A157" s="82"/>
      <c r="B157" s="49" t="s">
        <v>360</v>
      </c>
      <c r="C157" s="81"/>
    </row>
    <row r="159" spans="1:4" x14ac:dyDescent="0.25">
      <c r="A159" s="51" t="s">
        <v>221</v>
      </c>
      <c r="B159" s="49" t="s">
        <v>361</v>
      </c>
      <c r="C159" s="30">
        <v>0</v>
      </c>
    </row>
    <row r="161" spans="1:4" x14ac:dyDescent="0.25">
      <c r="A161" s="82" t="s">
        <v>220</v>
      </c>
      <c r="B161" s="49" t="s">
        <v>362</v>
      </c>
      <c r="C161" s="81">
        <v>0</v>
      </c>
    </row>
    <row r="162" spans="1:4" x14ac:dyDescent="0.25">
      <c r="A162" s="82"/>
      <c r="B162" s="49" t="s">
        <v>364</v>
      </c>
      <c r="C162" s="81"/>
      <c r="D162" s="49" t="s">
        <v>427</v>
      </c>
    </row>
    <row r="163" spans="1:4" x14ac:dyDescent="0.25">
      <c r="A163" s="82"/>
      <c r="B163" s="49" t="s">
        <v>363</v>
      </c>
      <c r="C163" s="81"/>
    </row>
    <row r="165" spans="1:4" x14ac:dyDescent="0.25">
      <c r="A165" s="82" t="s">
        <v>217</v>
      </c>
      <c r="B165" s="49" t="s">
        <v>365</v>
      </c>
      <c r="C165" s="81">
        <v>0</v>
      </c>
    </row>
    <row r="166" spans="1:4" x14ac:dyDescent="0.25">
      <c r="A166" s="82"/>
      <c r="B166" s="49" t="s">
        <v>366</v>
      </c>
      <c r="C166" s="81"/>
      <c r="D166" s="49" t="s">
        <v>368</v>
      </c>
    </row>
    <row r="167" spans="1:4" x14ac:dyDescent="0.25">
      <c r="A167" s="82"/>
      <c r="B167" s="49" t="s">
        <v>367</v>
      </c>
      <c r="C167" s="81"/>
    </row>
    <row r="169" spans="1:4" x14ac:dyDescent="0.25">
      <c r="A169" s="51" t="s">
        <v>219</v>
      </c>
      <c r="B169" s="49" t="s">
        <v>369</v>
      </c>
      <c r="C169" s="30">
        <v>0</v>
      </c>
    </row>
    <row r="171" spans="1:4" x14ac:dyDescent="0.25">
      <c r="A171" s="51" t="s">
        <v>218</v>
      </c>
      <c r="B171" s="49" t="s">
        <v>315</v>
      </c>
      <c r="C171" s="30">
        <v>0</v>
      </c>
    </row>
    <row r="173" spans="1:4" x14ac:dyDescent="0.25">
      <c r="A173" s="51" t="s">
        <v>212</v>
      </c>
      <c r="B173" s="49" t="s">
        <v>370</v>
      </c>
      <c r="C173" s="30">
        <v>0</v>
      </c>
    </row>
    <row r="175" spans="1:4" x14ac:dyDescent="0.25">
      <c r="A175" s="51" t="s">
        <v>196</v>
      </c>
      <c r="B175" s="49" t="s">
        <v>405</v>
      </c>
      <c r="C175" s="30">
        <v>0</v>
      </c>
    </row>
    <row r="177" spans="1:4" x14ac:dyDescent="0.25">
      <c r="A177" s="51" t="s">
        <v>193</v>
      </c>
      <c r="B177" s="49" t="s">
        <v>406</v>
      </c>
      <c r="C177" s="30">
        <v>0</v>
      </c>
    </row>
    <row r="179" spans="1:4" x14ac:dyDescent="0.25">
      <c r="A179" s="82" t="s">
        <v>222</v>
      </c>
      <c r="B179" s="49" t="s">
        <v>372</v>
      </c>
      <c r="C179" s="81">
        <v>0</v>
      </c>
      <c r="D179" s="49" t="s">
        <v>427</v>
      </c>
    </row>
    <row r="180" spans="1:4" x14ac:dyDescent="0.25">
      <c r="A180" s="82"/>
      <c r="B180" s="49" t="s">
        <v>407</v>
      </c>
      <c r="C180" s="81"/>
    </row>
    <row r="182" spans="1:4" x14ac:dyDescent="0.25">
      <c r="A182" s="82" t="s">
        <v>250</v>
      </c>
      <c r="B182" s="49" t="s">
        <v>373</v>
      </c>
      <c r="C182" s="81">
        <v>0</v>
      </c>
      <c r="D182" s="49" t="s">
        <v>375</v>
      </c>
    </row>
    <row r="183" spans="1:4" x14ac:dyDescent="0.25">
      <c r="A183" s="82"/>
      <c r="B183" s="49" t="s">
        <v>374</v>
      </c>
      <c r="C183" s="81"/>
    </row>
    <row r="185" spans="1:4" x14ac:dyDescent="0.25">
      <c r="A185" s="51" t="s">
        <v>189</v>
      </c>
      <c r="B185" s="49" t="s">
        <v>268</v>
      </c>
      <c r="C185" s="30">
        <v>0</v>
      </c>
    </row>
    <row r="186" spans="1:4" x14ac:dyDescent="0.25">
      <c r="A186" s="49"/>
    </row>
    <row r="187" spans="1:4" x14ac:dyDescent="0.25">
      <c r="A187" s="83" t="s">
        <v>71</v>
      </c>
      <c r="B187" s="49" t="s">
        <v>377</v>
      </c>
      <c r="C187" s="81">
        <v>0</v>
      </c>
    </row>
    <row r="188" spans="1:4" x14ac:dyDescent="0.25">
      <c r="A188" s="84"/>
      <c r="B188" s="49" t="s">
        <v>378</v>
      </c>
      <c r="C188" s="81"/>
    </row>
    <row r="190" spans="1:4" x14ac:dyDescent="0.25">
      <c r="A190" s="51" t="s">
        <v>188</v>
      </c>
      <c r="B190" s="49" t="s">
        <v>379</v>
      </c>
      <c r="C190" s="30">
        <v>0</v>
      </c>
    </row>
    <row r="192" spans="1:4" x14ac:dyDescent="0.25">
      <c r="A192" s="51" t="s">
        <v>192</v>
      </c>
      <c r="B192" s="49" t="s">
        <v>380</v>
      </c>
      <c r="C192" s="30">
        <v>0</v>
      </c>
      <c r="D192" s="49" t="s">
        <v>390</v>
      </c>
    </row>
    <row r="193" spans="1:4" x14ac:dyDescent="0.25">
      <c r="D193" s="49" t="s">
        <v>389</v>
      </c>
    </row>
    <row r="194" spans="1:4" x14ac:dyDescent="0.25">
      <c r="A194" s="82" t="s">
        <v>200</v>
      </c>
      <c r="B194" s="49" t="s">
        <v>382</v>
      </c>
      <c r="C194" s="81">
        <v>0</v>
      </c>
    </row>
    <row r="195" spans="1:4" x14ac:dyDescent="0.25">
      <c r="A195" s="82"/>
      <c r="B195" s="49" t="s">
        <v>383</v>
      </c>
      <c r="C195" s="81"/>
    </row>
    <row r="197" spans="1:4" x14ac:dyDescent="0.25">
      <c r="A197" s="83" t="s">
        <v>201</v>
      </c>
      <c r="B197" s="49" t="s">
        <v>416</v>
      </c>
      <c r="C197" s="85">
        <v>0</v>
      </c>
      <c r="D197" s="49" t="s">
        <v>417</v>
      </c>
    </row>
    <row r="198" spans="1:4" x14ac:dyDescent="0.25">
      <c r="A198" s="84"/>
      <c r="B198" s="49" t="s">
        <v>415</v>
      </c>
      <c r="C198" s="86"/>
    </row>
    <row r="199" spans="1:4" x14ac:dyDescent="0.25">
      <c r="A199" s="53"/>
      <c r="C199" s="53"/>
    </row>
    <row r="200" spans="1:4" x14ac:dyDescent="0.25">
      <c r="A200" s="82" t="s">
        <v>210</v>
      </c>
      <c r="B200" s="49" t="s">
        <v>385</v>
      </c>
      <c r="C200" s="81">
        <v>0</v>
      </c>
    </row>
    <row r="201" spans="1:4" x14ac:dyDescent="0.25">
      <c r="A201" s="82"/>
      <c r="B201" s="49" t="s">
        <v>384</v>
      </c>
      <c r="C201" s="81"/>
    </row>
    <row r="203" spans="1:4" x14ac:dyDescent="0.25">
      <c r="A203" s="51" t="s">
        <v>213</v>
      </c>
      <c r="B203" s="49" t="s">
        <v>386</v>
      </c>
      <c r="C203" s="30">
        <v>0</v>
      </c>
    </row>
    <row r="205" spans="1:4" x14ac:dyDescent="0.25">
      <c r="A205" s="51" t="s">
        <v>224</v>
      </c>
      <c r="B205" s="49" t="s">
        <v>387</v>
      </c>
      <c r="C205" s="30">
        <v>0</v>
      </c>
    </row>
    <row r="207" spans="1:4" x14ac:dyDescent="0.25">
      <c r="A207" s="51" t="s">
        <v>227</v>
      </c>
      <c r="B207" s="49" t="s">
        <v>388</v>
      </c>
      <c r="C207" s="30">
        <v>0</v>
      </c>
    </row>
    <row r="209" spans="1:4" x14ac:dyDescent="0.25">
      <c r="A209" s="51" t="s">
        <v>211</v>
      </c>
      <c r="B209" s="49" t="s">
        <v>391</v>
      </c>
      <c r="C209" s="30">
        <v>0</v>
      </c>
      <c r="D209" s="49" t="s">
        <v>392</v>
      </c>
    </row>
    <row r="211" spans="1:4" x14ac:dyDescent="0.25">
      <c r="A211" s="83" t="s">
        <v>228</v>
      </c>
      <c r="B211" s="49" t="s">
        <v>393</v>
      </c>
      <c r="C211" s="85">
        <v>0</v>
      </c>
    </row>
    <row r="212" spans="1:4" x14ac:dyDescent="0.25">
      <c r="A212" s="84"/>
      <c r="B212" s="49" t="s">
        <v>394</v>
      </c>
      <c r="C212" s="86"/>
    </row>
    <row r="214" spans="1:4" x14ac:dyDescent="0.25">
      <c r="A214" s="51" t="s">
        <v>256</v>
      </c>
      <c r="B214" s="49" t="s">
        <v>395</v>
      </c>
      <c r="C214" s="30">
        <v>0</v>
      </c>
    </row>
    <row r="216" spans="1:4" x14ac:dyDescent="0.25">
      <c r="A216" s="51" t="s">
        <v>236</v>
      </c>
      <c r="B216" s="49" t="s">
        <v>396</v>
      </c>
      <c r="C216" s="30">
        <v>0</v>
      </c>
      <c r="D216" s="49" t="s">
        <v>397</v>
      </c>
    </row>
    <row r="217" spans="1:4" x14ac:dyDescent="0.25">
      <c r="D217" s="49" t="s">
        <v>409</v>
      </c>
    </row>
  </sheetData>
  <sheetProtection password="C81A" sheet="1" objects="1" scenarios="1" selectLockedCells="1"/>
  <mergeCells count="36">
    <mergeCell ref="A211:A212"/>
    <mergeCell ref="C211:C212"/>
    <mergeCell ref="A2:A6"/>
    <mergeCell ref="C2:C6"/>
    <mergeCell ref="C8:C11"/>
    <mergeCell ref="A8:A11"/>
    <mergeCell ref="C21:C22"/>
    <mergeCell ref="A21:A22"/>
    <mergeCell ref="A12:XFD12"/>
    <mergeCell ref="C15:C16"/>
    <mergeCell ref="A15:A16"/>
    <mergeCell ref="C18:C19"/>
    <mergeCell ref="A18:A19"/>
    <mergeCell ref="A17:XFD17"/>
    <mergeCell ref="A161:A163"/>
    <mergeCell ref="C161:C163"/>
    <mergeCell ref="C165:C167"/>
    <mergeCell ref="A165:A167"/>
    <mergeCell ref="C106:C107"/>
    <mergeCell ref="A106:A107"/>
    <mergeCell ref="C131:C132"/>
    <mergeCell ref="A131:A132"/>
    <mergeCell ref="A156:A157"/>
    <mergeCell ref="C156:C157"/>
    <mergeCell ref="C200:C201"/>
    <mergeCell ref="A200:A201"/>
    <mergeCell ref="A194:A195"/>
    <mergeCell ref="C194:C195"/>
    <mergeCell ref="A179:A180"/>
    <mergeCell ref="C179:C180"/>
    <mergeCell ref="A182:A183"/>
    <mergeCell ref="C182:C183"/>
    <mergeCell ref="C187:C188"/>
    <mergeCell ref="A187:A188"/>
    <mergeCell ref="C197:C198"/>
    <mergeCell ref="A197:A19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34"/>
  <sheetViews>
    <sheetView zoomScaleNormal="100" workbookViewId="0">
      <selection activeCell="F5" sqref="F5"/>
    </sheetView>
  </sheetViews>
  <sheetFormatPr defaultRowHeight="15" x14ac:dyDescent="0.25"/>
  <cols>
    <col min="1" max="1" width="7.140625" style="15" bestFit="1" customWidth="1"/>
    <col min="2" max="2" width="15.42578125" style="15" bestFit="1" customWidth="1"/>
    <col min="3" max="4" width="6" style="9" bestFit="1" customWidth="1"/>
    <col min="5" max="5" width="8" style="15" bestFit="1" customWidth="1"/>
    <col min="6" max="6" width="19.28515625" style="12" customWidth="1"/>
    <col min="7" max="7" width="0.85546875" style="64" customWidth="1"/>
    <col min="8" max="8" width="10.28515625" style="13" customWidth="1"/>
    <col min="9" max="9" width="10.7109375" style="13" customWidth="1"/>
    <col min="10" max="10" width="8" style="13" customWidth="1"/>
    <col min="11" max="11" width="8.85546875" style="13" customWidth="1"/>
    <col min="12" max="12" width="5.42578125" style="13" customWidth="1"/>
    <col min="13" max="13" width="15.5703125" style="13" bestFit="1" customWidth="1"/>
    <col min="14" max="14" width="14.28515625" style="13" customWidth="1"/>
    <col min="15" max="15" width="4.28515625" style="13" bestFit="1" customWidth="1"/>
    <col min="16" max="16" width="5.42578125" style="13" bestFit="1" customWidth="1"/>
    <col min="17" max="17" width="12.7109375" style="13" bestFit="1" customWidth="1"/>
    <col min="18" max="22" width="9.140625" style="13"/>
    <col min="23" max="26" width="9.140625" style="129"/>
    <col min="27" max="16384" width="9.140625" style="15"/>
  </cols>
  <sheetData>
    <row r="1" spans="1:26" ht="33.75" x14ac:dyDescent="0.5">
      <c r="A1" s="106" t="s">
        <v>257</v>
      </c>
      <c r="B1" s="107"/>
      <c r="C1" s="107"/>
      <c r="D1" s="107"/>
      <c r="E1" s="107"/>
      <c r="F1" s="108"/>
      <c r="H1" s="90" t="s">
        <v>276</v>
      </c>
      <c r="I1" s="91"/>
      <c r="J1" s="92"/>
      <c r="K1" s="41">
        <f>SUM(B11,B48,B69,B90,B122,B134,B163,B169,B181,B192,B217,B224,B233)</f>
        <v>5247920</v>
      </c>
      <c r="L1" s="42" t="s">
        <v>277</v>
      </c>
      <c r="M1" s="61"/>
      <c r="N1" s="45"/>
      <c r="O1" s="45"/>
    </row>
    <row r="2" spans="1:26" ht="33.75" x14ac:dyDescent="0.5">
      <c r="A2" s="16"/>
      <c r="B2" s="17"/>
      <c r="C2" s="18"/>
      <c r="D2" s="18"/>
      <c r="E2" s="17"/>
      <c r="F2" s="17"/>
      <c r="H2" s="45" t="s">
        <v>420</v>
      </c>
      <c r="K2" s="66"/>
      <c r="L2" s="66"/>
      <c r="M2" s="66"/>
      <c r="N2" s="66"/>
      <c r="O2" s="45"/>
    </row>
    <row r="3" spans="1:26" ht="28.5" x14ac:dyDescent="0.45">
      <c r="A3" s="109" t="s">
        <v>258</v>
      </c>
      <c r="B3" s="110"/>
      <c r="C3" s="110"/>
      <c r="D3" s="110"/>
      <c r="E3" s="110"/>
      <c r="F3" s="111"/>
      <c r="G3" s="61"/>
      <c r="H3" s="131" t="s">
        <v>431</v>
      </c>
      <c r="I3" s="132"/>
      <c r="J3" s="132"/>
      <c r="K3" s="133"/>
      <c r="L3" s="112" t="s">
        <v>418</v>
      </c>
      <c r="M3" s="112"/>
      <c r="N3" s="19" t="s">
        <v>429</v>
      </c>
      <c r="O3" s="20"/>
    </row>
    <row r="4" spans="1:26" s="9" customFormat="1" x14ac:dyDescent="0.25">
      <c r="A4" s="9" t="s">
        <v>257</v>
      </c>
      <c r="B4" s="9" t="s">
        <v>0</v>
      </c>
      <c r="C4" s="9" t="s">
        <v>4</v>
      </c>
      <c r="D4" s="9" t="s">
        <v>247</v>
      </c>
      <c r="E4" s="9" t="s">
        <v>5</v>
      </c>
      <c r="F4" s="21" t="s">
        <v>290</v>
      </c>
      <c r="G4" s="62"/>
      <c r="H4" s="134"/>
      <c r="I4" s="135"/>
      <c r="J4" s="135"/>
      <c r="K4" s="136"/>
      <c r="L4" s="47">
        <f>IF('Perfect Amounts'!D235+'Perfect Amounts'!D236+'Perfect Amounts'!D234+'Perfect Amounts'!D220+'Perfect Amounts'!D226-'Perfect Amounts'!E11&lt;0,0,'Perfect Amounts'!D235+'Perfect Amounts'!D236+'Perfect Amounts'!D234+'Perfect Amounts'!D220+'Perfect Amounts'!D226-'Perfect Amounts'!E11-N4)</f>
        <v>36</v>
      </c>
      <c r="M4" s="22" t="s">
        <v>240</v>
      </c>
      <c r="N4" s="30"/>
      <c r="O4" s="32"/>
      <c r="P4" s="32"/>
      <c r="Q4" s="32"/>
      <c r="R4" s="32"/>
      <c r="S4" s="32"/>
      <c r="T4" s="73"/>
      <c r="U4" s="73"/>
      <c r="V4" s="73"/>
      <c r="W4" s="130"/>
      <c r="X4" s="130"/>
      <c r="Y4" s="130"/>
      <c r="Z4" s="130"/>
    </row>
    <row r="5" spans="1:26" x14ac:dyDescent="0.25">
      <c r="A5" s="15">
        <f>'Perfect Amounts'!D136-'Perfect Amounts'!E136+'Perfect Amounts'!D189-'Perfect Amounts'!E189-'Future Treasures'!C117+'Perfect Amounts'!D192-'Perfect Amounts'!E192-'Future Treasures'!C123+'Perfect Amounts'!D233-'Perfect Amounts'!E233-'Buying and Synthing'!F5</f>
        <v>22</v>
      </c>
      <c r="B5" s="15" t="s">
        <v>110</v>
      </c>
      <c r="C5" s="9">
        <v>260</v>
      </c>
      <c r="D5" s="9">
        <f>C5/2</f>
        <v>130</v>
      </c>
      <c r="E5" s="23">
        <f>IF(A5&gt;0,C5*A5,D5*A5)</f>
        <v>5720</v>
      </c>
      <c r="F5" s="27"/>
      <c r="H5" s="134"/>
      <c r="I5" s="135"/>
      <c r="J5" s="135"/>
      <c r="K5" s="136"/>
      <c r="L5" s="14">
        <f>IF('Perfect Amounts'!D122+'Perfect Amounts'!D218-'Perfect Amounts'!E22-'Future Treasures'!C21&lt;0,0,'Perfect Amounts'!D122+'Perfect Amounts'!D218-'Perfect Amounts'!E22-'Future Treasures'!C21-N5)</f>
        <v>16</v>
      </c>
      <c r="M5" s="24" t="s">
        <v>64</v>
      </c>
      <c r="N5" s="31"/>
    </row>
    <row r="6" spans="1:26" x14ac:dyDescent="0.25">
      <c r="A6" s="15">
        <f>'Perfect Amounts'!D137-'Perfect Amounts'!E137-'Buying and Synthing'!F6</f>
        <v>7</v>
      </c>
      <c r="B6" s="15" t="s">
        <v>102</v>
      </c>
      <c r="C6" s="9">
        <v>330</v>
      </c>
      <c r="D6" s="9">
        <f>C6/2</f>
        <v>165</v>
      </c>
      <c r="E6" s="23">
        <f>IF(A6&gt;0,C6*A6,D6*A6)</f>
        <v>2310</v>
      </c>
      <c r="F6" s="27"/>
      <c r="H6" s="134"/>
      <c r="I6" s="135"/>
      <c r="J6" s="135"/>
      <c r="K6" s="136"/>
      <c r="L6" s="13">
        <f>IF('Perfect Amounts'!D122+'Perfect Amounts'!D218+'Perfect Amounts'!D217-'Perfect Amounts'!E16-'Future Treasures'!C15&lt;0,0,'Perfect Amounts'!D122+'Perfect Amounts'!D218+'Perfect Amounts'!D217-'Perfect Amounts'!E16-'Future Treasures'!C15-N6)</f>
        <v>25</v>
      </c>
      <c r="M6" s="14" t="s">
        <v>214</v>
      </c>
      <c r="N6" s="31"/>
    </row>
    <row r="7" spans="1:26" x14ac:dyDescent="0.25">
      <c r="A7" s="15">
        <f>'Perfect Amounts'!D138-'Perfect Amounts'!E138+'Perfect Amounts'!D78-'Perfect Amounts'!E78+'Perfect Amounts'!D238-'Perfect Amounts'!E238-'Future Treasures'!C98-'Future Treasures'!C175-'Buying and Synthing'!F7</f>
        <v>14</v>
      </c>
      <c r="B7" s="15" t="s">
        <v>304</v>
      </c>
      <c r="C7" s="9">
        <v>400</v>
      </c>
      <c r="D7" s="9">
        <f>C7/2</f>
        <v>200</v>
      </c>
      <c r="E7" s="23">
        <f>IF(A7&gt;0,C7*A7,D7*A7)</f>
        <v>5600</v>
      </c>
      <c r="F7" s="27"/>
      <c r="H7" s="137"/>
      <c r="I7" s="138"/>
      <c r="J7" s="138"/>
      <c r="K7" s="139"/>
      <c r="L7" s="14">
        <f>IF('Perfect Amounts'!D226+'Perfect Amounts'!D220-'Perfect Amounts'!E251-'Future Treasures'!C203&lt;0,0,'Perfect Amounts'!D226+'Perfect Amounts'!D220-'Perfect Amounts'!E251-'Future Treasures'!C203-N7)</f>
        <v>14</v>
      </c>
      <c r="M7" s="14" t="s">
        <v>213</v>
      </c>
      <c r="N7" s="31"/>
    </row>
    <row r="8" spans="1:26" x14ac:dyDescent="0.25">
      <c r="A8" s="15">
        <f>'Perfect Amounts'!D173-'Perfect Amounts'!E173-'Future Treasures'!C109-'Buying and Synthing'!F8</f>
        <v>7</v>
      </c>
      <c r="B8" s="15" t="s">
        <v>149</v>
      </c>
      <c r="C8" s="9">
        <v>670</v>
      </c>
      <c r="D8" s="9">
        <f>C8/2</f>
        <v>335</v>
      </c>
      <c r="E8" s="23">
        <f>IF(A8&gt;0,C8*A8,D8*A8)</f>
        <v>4690</v>
      </c>
      <c r="F8" s="27"/>
    </row>
    <row r="9" spans="1:26" x14ac:dyDescent="0.25">
      <c r="A9" s="15">
        <f>'Perfect Amounts'!D226-'Perfect Amounts'!E226+'Perfect Amounts'!D220-'Perfect Amounts'!E220+'Perfect Amounts'!D234-'Perfect Amounts'!E234+'Perfect Amounts'!D199-'Perfect Amounts'!E199-'Future Treasures'!C150-'Future Treasures'!C159-'Buying and Synthing'!F9</f>
        <v>26</v>
      </c>
      <c r="B9" s="15" t="s">
        <v>181</v>
      </c>
      <c r="C9" s="9">
        <v>800</v>
      </c>
      <c r="D9" s="9">
        <f>C9/2</f>
        <v>400</v>
      </c>
      <c r="E9" s="48">
        <f>IF(A9&gt;0,C9*A9,D9*A9)</f>
        <v>20800</v>
      </c>
      <c r="F9" s="27"/>
      <c r="H9" s="105"/>
      <c r="I9" s="105"/>
      <c r="J9" s="105"/>
      <c r="K9" s="105"/>
      <c r="L9" s="112" t="s">
        <v>423</v>
      </c>
      <c r="M9" s="114"/>
      <c r="N9" s="113"/>
      <c r="O9" s="20"/>
      <c r="P9" s="20"/>
    </row>
    <row r="10" spans="1:26" x14ac:dyDescent="0.25">
      <c r="A10" s="96"/>
      <c r="B10" s="97"/>
      <c r="C10" s="97"/>
      <c r="D10" s="97"/>
      <c r="E10" s="97"/>
      <c r="F10" s="98"/>
      <c r="H10" s="105"/>
      <c r="I10" s="105"/>
      <c r="J10" s="105"/>
      <c r="K10" s="105"/>
      <c r="L10" s="112"/>
      <c r="M10" s="114"/>
      <c r="N10" s="113"/>
      <c r="O10" s="20"/>
      <c r="P10" s="20"/>
    </row>
    <row r="11" spans="1:26" x14ac:dyDescent="0.25">
      <c r="A11" s="15" t="s">
        <v>259</v>
      </c>
      <c r="B11" s="93">
        <f>SUM(E5:E9)</f>
        <v>39120</v>
      </c>
      <c r="C11" s="94"/>
      <c r="D11" s="94"/>
      <c r="E11" s="94"/>
      <c r="F11" s="95"/>
      <c r="I11" s="45"/>
      <c r="J11" s="126"/>
      <c r="K11" s="126"/>
      <c r="L11" s="14">
        <f>-('Perfect Amounts'!D19-'Perfect Amounts'!E19-'Future Treasures'!C18)</f>
        <v>-3</v>
      </c>
      <c r="M11" s="67" t="s">
        <v>198</v>
      </c>
      <c r="N11" s="72"/>
      <c r="O11" s="115"/>
      <c r="P11" s="115"/>
    </row>
    <row r="12" spans="1:26" x14ac:dyDescent="0.25">
      <c r="A12" s="99" t="s">
        <v>260</v>
      </c>
      <c r="B12" s="100"/>
      <c r="C12" s="100"/>
      <c r="D12" s="100"/>
      <c r="E12" s="100"/>
      <c r="F12" s="101"/>
      <c r="J12" s="115"/>
      <c r="K12" s="115"/>
      <c r="L12" s="14">
        <f>-('Perfect Amounts'!D28-'Perfect Amounts'!E28+'Perfect Amounts'!D35-'Perfect Amounts'!E35+'Perfect Amounts'!D36-'Perfect Amounts'!E36+'Perfect Amounts'!D119-'Perfect Amounts'!E119-'Future Treasures'!C84)</f>
        <v>-9</v>
      </c>
      <c r="M12" s="67" t="s">
        <v>11</v>
      </c>
      <c r="N12" s="72"/>
    </row>
    <row r="13" spans="1:26" ht="14.25" customHeight="1" x14ac:dyDescent="0.25">
      <c r="A13" s="102"/>
      <c r="B13" s="103"/>
      <c r="C13" s="103"/>
      <c r="D13" s="103"/>
      <c r="E13" s="103"/>
      <c r="F13" s="104"/>
      <c r="L13" s="14">
        <f>-('Perfect Amounts'!D41-'Perfect Amounts'!E41+'Perfect Amounts'!D212-'Perfect Amounts'!E212)</f>
        <v>-5</v>
      </c>
      <c r="M13" s="67" t="s">
        <v>29</v>
      </c>
      <c r="N13" s="72"/>
    </row>
    <row r="14" spans="1:26" x14ac:dyDescent="0.25">
      <c r="A14" s="9" t="s">
        <v>257</v>
      </c>
      <c r="B14" s="9" t="s">
        <v>0</v>
      </c>
      <c r="C14" s="9" t="s">
        <v>4</v>
      </c>
      <c r="D14" s="9" t="s">
        <v>247</v>
      </c>
      <c r="E14" s="9" t="s">
        <v>5</v>
      </c>
      <c r="F14" s="21" t="s">
        <v>290</v>
      </c>
      <c r="J14" s="45"/>
      <c r="K14" s="46"/>
      <c r="L14" s="14">
        <f>-('Perfect Amounts'!D42-'Future Treasures'!C32)</f>
        <v>-2</v>
      </c>
      <c r="M14" s="67" t="s">
        <v>30</v>
      </c>
      <c r="N14" s="72"/>
    </row>
    <row r="15" spans="1:26" x14ac:dyDescent="0.25">
      <c r="A15" s="15">
        <f>'Perfect Amounts'!D26-'Perfect Amounts'!E26+'Perfect Amounts'!D34-'Perfect Amounts'!E34+'Perfect Amounts'!D33*2-'Perfect Amounts'!E33*2+'Perfect Amounts'!D32-'Perfect Amounts'!E32-'Buying and Synthing'!F15</f>
        <v>10</v>
      </c>
      <c r="B15" s="15" t="s">
        <v>3</v>
      </c>
      <c r="C15" s="9">
        <v>950</v>
      </c>
      <c r="D15" s="9">
        <f>C15/2</f>
        <v>475</v>
      </c>
      <c r="E15" s="23">
        <f>IF(A15&gt;0,C15*A15,D15*A15)</f>
        <v>9500</v>
      </c>
      <c r="F15" s="27"/>
      <c r="L15" s="14">
        <f>-('Perfect Amounts'!D45-'Perfect Amounts'!E45)</f>
        <v>-2</v>
      </c>
      <c r="M15" s="67" t="s">
        <v>33</v>
      </c>
      <c r="N15" s="72"/>
    </row>
    <row r="16" spans="1:26" x14ac:dyDescent="0.25">
      <c r="A16" s="15">
        <f>'Perfect Amounts'!D27-'Perfect Amounts'!E27+'Perfect Amounts'!D34-'Perfect Amounts'!E34+'Perfect Amounts'!D35-'Perfect Amounts'!E35+'Perfect Amounts'!D119-'Perfect Amounts'!E119-'Buying and Synthing'!F16</f>
        <v>9</v>
      </c>
      <c r="B16" s="15" t="s">
        <v>8</v>
      </c>
      <c r="C16" s="9">
        <v>2300</v>
      </c>
      <c r="D16" s="9">
        <f t="shared" ref="D16:D46" si="0">C16/2</f>
        <v>1150</v>
      </c>
      <c r="E16" s="23">
        <f t="shared" ref="E16:E46" si="1">IF(A16&gt;0,C16*A16,D16*A16)</f>
        <v>20700</v>
      </c>
      <c r="F16" s="27"/>
      <c r="I16" s="45"/>
      <c r="L16" s="14">
        <f>-('Perfect Amounts'!D46-'Perfect Amounts'!E46)</f>
        <v>-2</v>
      </c>
      <c r="M16" s="67" t="s">
        <v>34</v>
      </c>
      <c r="N16" s="72"/>
    </row>
    <row r="17" spans="1:14" x14ac:dyDescent="0.25">
      <c r="A17" s="15">
        <f>'Perfect Amounts'!D43-'Perfect Amounts'!E43-'Buying and Synthing'!F17</f>
        <v>2</v>
      </c>
      <c r="B17" s="15" t="s">
        <v>31</v>
      </c>
      <c r="C17" s="9">
        <v>3780</v>
      </c>
      <c r="D17" s="9">
        <f t="shared" si="0"/>
        <v>1890</v>
      </c>
      <c r="E17" s="23">
        <f t="shared" si="1"/>
        <v>7560</v>
      </c>
      <c r="F17" s="27"/>
      <c r="L17" s="14">
        <f>-('Perfect Amounts'!D47-'Perfect Amounts'!E47)</f>
        <v>-2</v>
      </c>
      <c r="M17" s="67" t="s">
        <v>35</v>
      </c>
      <c r="N17" s="72"/>
    </row>
    <row r="18" spans="1:14" x14ac:dyDescent="0.25">
      <c r="A18" s="15">
        <f>'Perfect Amounts'!D56-'Perfect Amounts'!E56-F18</f>
        <v>2</v>
      </c>
      <c r="B18" s="15" t="s">
        <v>44</v>
      </c>
      <c r="C18" s="9">
        <v>1600</v>
      </c>
      <c r="D18" s="9">
        <f t="shared" si="0"/>
        <v>800</v>
      </c>
      <c r="E18" s="23">
        <f t="shared" si="1"/>
        <v>3200</v>
      </c>
      <c r="F18" s="27"/>
      <c r="H18" s="115"/>
      <c r="I18" s="115"/>
      <c r="J18" s="115"/>
      <c r="K18" s="116"/>
      <c r="L18" s="14">
        <f>-('Perfect Amounts'!D54-'Perfect Amounts'!E54+'Perfect Amounts'!D49-'Perfect Amounts'!E49-'Future Treasures'!C38)</f>
        <v>-3</v>
      </c>
      <c r="M18" s="67" t="s">
        <v>42</v>
      </c>
      <c r="N18" s="72"/>
    </row>
    <row r="19" spans="1:14" x14ac:dyDescent="0.25">
      <c r="A19" s="15">
        <f>'Perfect Amounts'!D57-'Perfect Amounts'!E57-F19</f>
        <v>2</v>
      </c>
      <c r="B19" s="15" t="s">
        <v>45</v>
      </c>
      <c r="C19" s="9">
        <v>2430</v>
      </c>
      <c r="D19" s="9">
        <f t="shared" si="0"/>
        <v>1215</v>
      </c>
      <c r="E19" s="23">
        <f t="shared" si="1"/>
        <v>4860</v>
      </c>
      <c r="F19" s="27"/>
      <c r="L19" s="14">
        <f>-('Perfect Amounts'!D58-'Perfect Amounts'!E58)</f>
        <v>-2</v>
      </c>
      <c r="M19" s="67" t="s">
        <v>46</v>
      </c>
      <c r="N19" s="72"/>
    </row>
    <row r="20" spans="1:14" x14ac:dyDescent="0.25">
      <c r="A20" s="15">
        <f>'Perfect Amounts'!D64-'Perfect Amounts'!E64-'Future Treasures'!C44-F20</f>
        <v>2</v>
      </c>
      <c r="B20" s="15" t="s">
        <v>52</v>
      </c>
      <c r="C20" s="9">
        <v>4000</v>
      </c>
      <c r="D20" s="9">
        <f t="shared" si="0"/>
        <v>2000</v>
      </c>
      <c r="E20" s="23">
        <f t="shared" si="1"/>
        <v>8000</v>
      </c>
      <c r="F20" s="27"/>
      <c r="L20" s="14">
        <f>-('Perfect Amounts'!D59-'Perfect Amounts'!E59)</f>
        <v>-2</v>
      </c>
      <c r="M20" s="67" t="s">
        <v>47</v>
      </c>
      <c r="N20" s="72"/>
    </row>
    <row r="21" spans="1:14" x14ac:dyDescent="0.25">
      <c r="A21" s="15">
        <f>'Perfect Amounts'!D65-'Perfect Amounts'!E65-F21</f>
        <v>2</v>
      </c>
      <c r="B21" s="15" t="s">
        <v>53</v>
      </c>
      <c r="C21" s="9">
        <v>5000</v>
      </c>
      <c r="D21" s="9">
        <f t="shared" si="0"/>
        <v>2500</v>
      </c>
      <c r="E21" s="23">
        <f t="shared" si="1"/>
        <v>10000</v>
      </c>
      <c r="F21" s="27"/>
      <c r="L21" s="14">
        <f>-('Perfect Amounts'!D60-'Perfect Amounts'!E60)</f>
        <v>-2</v>
      </c>
      <c r="M21" s="67" t="s">
        <v>48</v>
      </c>
      <c r="N21" s="72"/>
    </row>
    <row r="22" spans="1:14" x14ac:dyDescent="0.25">
      <c r="A22" s="15">
        <f>'Perfect Amounts'!D82-'Perfect Amounts'!E82+'Perfect Amounts'!D156-'Perfect Amounts'!E156+'Perfect Amounts'!D224-'Perfect Amounts'!E224+'Perfect Amounts'!D225-'Perfect Amounts'!E225+'Perfect Amounts'!D226-'Perfect Amounts'!E226-'Future Treasures'!C154-'Future Treasures'!C156-'Future Treasures'!C159-'Future Treasures'!C102-F22</f>
        <v>36</v>
      </c>
      <c r="B22" s="15" t="s">
        <v>74</v>
      </c>
      <c r="C22" s="9">
        <v>760</v>
      </c>
      <c r="D22" s="9">
        <f t="shared" si="0"/>
        <v>380</v>
      </c>
      <c r="E22" s="23">
        <f t="shared" si="1"/>
        <v>27360</v>
      </c>
      <c r="F22" s="27"/>
      <c r="L22" s="14">
        <f>-('Perfect Amounts'!D66-'Perfect Amounts'!E66)</f>
        <v>-2</v>
      </c>
      <c r="M22" s="67" t="s">
        <v>54</v>
      </c>
      <c r="N22" s="72"/>
    </row>
    <row r="23" spans="1:14" x14ac:dyDescent="0.25">
      <c r="A23" s="15">
        <f>'Perfect Amounts'!D83-'Perfect Amounts'!E83-F23</f>
        <v>2</v>
      </c>
      <c r="B23" s="15" t="s">
        <v>75</v>
      </c>
      <c r="C23" s="9">
        <v>1770</v>
      </c>
      <c r="D23" s="9">
        <f t="shared" si="0"/>
        <v>885</v>
      </c>
      <c r="E23" s="23">
        <f t="shared" si="1"/>
        <v>3540</v>
      </c>
      <c r="F23" s="27"/>
      <c r="L23" s="14">
        <f>-('Perfect Amounts'!D67-'Perfect Amounts'!E67)</f>
        <v>-2</v>
      </c>
      <c r="M23" s="67" t="s">
        <v>55</v>
      </c>
      <c r="N23" s="72"/>
    </row>
    <row r="24" spans="1:14" x14ac:dyDescent="0.25">
      <c r="A24" s="15">
        <f>'Perfect Amounts'!D88-'Perfect Amounts'!E88-F24</f>
        <v>2</v>
      </c>
      <c r="B24" s="15" t="s">
        <v>80</v>
      </c>
      <c r="C24" s="9">
        <v>3800</v>
      </c>
      <c r="D24" s="9">
        <f t="shared" si="0"/>
        <v>1900</v>
      </c>
      <c r="E24" s="23">
        <f t="shared" si="1"/>
        <v>7600</v>
      </c>
      <c r="F24" s="27"/>
      <c r="L24" s="14">
        <f>-('Perfect Amounts'!D69-'Perfect Amounts'!E69)</f>
        <v>-2</v>
      </c>
      <c r="M24" s="67" t="s">
        <v>57</v>
      </c>
      <c r="N24" s="72"/>
    </row>
    <row r="25" spans="1:14" x14ac:dyDescent="0.25">
      <c r="A25" s="15">
        <f>'Perfect Amounts'!D94-'Perfect Amounts'!E94-F25</f>
        <v>2</v>
      </c>
      <c r="B25" s="15" t="s">
        <v>21</v>
      </c>
      <c r="C25" s="9">
        <v>1100</v>
      </c>
      <c r="D25" s="9">
        <f t="shared" si="0"/>
        <v>550</v>
      </c>
      <c r="E25" s="23">
        <f t="shared" si="1"/>
        <v>2200</v>
      </c>
      <c r="F25" s="27"/>
      <c r="H25" s="115"/>
      <c r="I25" s="115"/>
      <c r="J25" s="115"/>
      <c r="K25" s="116"/>
      <c r="L25" s="14">
        <f>-('Perfect Amounts'!D74-'Perfect Amounts'!E74+'Perfect Amounts'!D78-'Perfect Amounts'!E78-'Future Treasures'!C54)</f>
        <v>-6</v>
      </c>
      <c r="M25" s="67" t="s">
        <v>85</v>
      </c>
      <c r="N25" s="72"/>
    </row>
    <row r="26" spans="1:14" x14ac:dyDescent="0.25">
      <c r="A26" s="15">
        <f>'Perfect Amounts'!D95-'Perfect Amounts'!E95-F26</f>
        <v>2</v>
      </c>
      <c r="B26" s="15" t="s">
        <v>19</v>
      </c>
      <c r="C26" s="9">
        <v>980</v>
      </c>
      <c r="D26" s="9">
        <f t="shared" si="0"/>
        <v>490</v>
      </c>
      <c r="E26" s="23">
        <f t="shared" si="1"/>
        <v>1960</v>
      </c>
      <c r="F26" s="27"/>
      <c r="L26" s="14">
        <f>-('Perfect Amounts'!D84-'Perfect Amounts'!E84)</f>
        <v>-2</v>
      </c>
      <c r="M26" s="67" t="s">
        <v>76</v>
      </c>
      <c r="N26" s="72"/>
    </row>
    <row r="27" spans="1:14" x14ac:dyDescent="0.25">
      <c r="A27" s="15">
        <f>'Perfect Amounts'!D96-'Perfect Amounts'!E96+'Perfect Amounts'!D227-'Perfect Amounts'!E227-F27</f>
        <v>11</v>
      </c>
      <c r="B27" s="15" t="s">
        <v>20</v>
      </c>
      <c r="C27" s="9">
        <v>1200</v>
      </c>
      <c r="D27" s="9">
        <f t="shared" si="0"/>
        <v>600</v>
      </c>
      <c r="E27" s="23">
        <f t="shared" si="1"/>
        <v>13200</v>
      </c>
      <c r="F27" s="27"/>
      <c r="L27" s="14">
        <f>-('Perfect Amounts'!D89-'Perfect Amounts'!E89)</f>
        <v>-2</v>
      </c>
      <c r="M27" s="67" t="s">
        <v>81</v>
      </c>
      <c r="N27" s="72"/>
    </row>
    <row r="28" spans="1:14" x14ac:dyDescent="0.25">
      <c r="A28" s="15">
        <f>'Perfect Amounts'!D97-'Perfect Amounts'!E97-F28</f>
        <v>2</v>
      </c>
      <c r="B28" s="15" t="s">
        <v>22</v>
      </c>
      <c r="C28" s="9">
        <v>2400</v>
      </c>
      <c r="D28" s="9">
        <f t="shared" si="0"/>
        <v>1200</v>
      </c>
      <c r="E28" s="23">
        <f t="shared" si="1"/>
        <v>4800</v>
      </c>
      <c r="F28" s="27"/>
      <c r="L28" s="14">
        <f>-('Perfect Amounts'!D90-'Perfect Amounts'!E90)</f>
        <v>-2</v>
      </c>
      <c r="M28" s="67" t="s">
        <v>82</v>
      </c>
      <c r="N28" s="72"/>
    </row>
    <row r="29" spans="1:14" x14ac:dyDescent="0.25">
      <c r="A29" s="15">
        <f>'Perfect Amounts'!D20-'Perfect Amounts'!E20-F29</f>
        <v>99</v>
      </c>
      <c r="B29" s="15" t="s">
        <v>62</v>
      </c>
      <c r="C29" s="9">
        <v>200</v>
      </c>
      <c r="D29" s="9">
        <f t="shared" si="0"/>
        <v>100</v>
      </c>
      <c r="E29" s="23">
        <f t="shared" si="1"/>
        <v>19800</v>
      </c>
      <c r="F29" s="27"/>
      <c r="L29" s="14">
        <f>-('Perfect Amounts'!D99-'Perfect Amounts'!E99)</f>
        <v>-2</v>
      </c>
      <c r="M29" s="67" t="s">
        <v>289</v>
      </c>
      <c r="N29" s="72"/>
    </row>
    <row r="30" spans="1:14" x14ac:dyDescent="0.25">
      <c r="A30" s="15">
        <f>'Perfect Amounts'!D111-'Perfect Amounts'!E111+'Perfect Amounts'!D168-'Perfect Amounts'!E168+'Perfect Amounts'!D195-'Perfect Amounts'!E195+'Perfect Amounts'!D221-'Perfect Amounts'!E221+'Perfect Amounts'!D223-'Perfect Amounts'!E223-'Future Treasures'!C129-F30</f>
        <v>33</v>
      </c>
      <c r="B30" s="15" t="s">
        <v>129</v>
      </c>
      <c r="C30" s="9">
        <v>250</v>
      </c>
      <c r="D30" s="9">
        <f t="shared" si="0"/>
        <v>125</v>
      </c>
      <c r="E30" s="23">
        <f t="shared" si="1"/>
        <v>8250</v>
      </c>
      <c r="F30" s="27"/>
      <c r="H30" s="115"/>
      <c r="I30" s="115"/>
      <c r="J30" s="115"/>
      <c r="K30" s="116"/>
      <c r="L30" s="14">
        <f>-('Perfect Amounts'!D105-'Perfect Amounts'!E105-'Future Treasures'!C72)</f>
        <v>-2</v>
      </c>
      <c r="M30" s="67" t="s">
        <v>68</v>
      </c>
      <c r="N30" s="72"/>
    </row>
    <row r="31" spans="1:14" x14ac:dyDescent="0.25">
      <c r="A31" s="15">
        <f>'Perfect Amounts'!D112-'Perfect Amounts'!E112+'Perfect Amounts'!D122-'Perfect Amounts'!E122+'Perfect Amounts'!D156-'Perfect Amounts'!E156+'Perfect Amounts'!D214-'Perfect Amounts'!E214+'Perfect Amounts'!D217-'Perfect Amounts'!E217+'Perfect Amounts'!D218-'Perfect Amounts'!E218+'Perfect Amounts'!D224-'Perfect Amounts'!E224+'Perfect Amounts'!D225-'Perfect Amounts'!E225+'Perfect Amounts'!D226-'Perfect Amounts'!E226-'Future Treasures'!C102-'Future Treasures'!C144-'Future Treasures'!C146-'Future Treasures'!C154-'Future Treasures'!C156-'Future Treasures'!C159-F31</f>
        <v>75</v>
      </c>
      <c r="B31" s="15" t="s">
        <v>125</v>
      </c>
      <c r="C31" s="9">
        <v>330</v>
      </c>
      <c r="D31" s="9">
        <f t="shared" si="0"/>
        <v>165</v>
      </c>
      <c r="E31" s="23">
        <f t="shared" si="1"/>
        <v>24750</v>
      </c>
      <c r="F31" s="27"/>
      <c r="H31" s="115"/>
      <c r="I31" s="115"/>
      <c r="J31" s="115"/>
      <c r="K31" s="116"/>
      <c r="L31" s="14">
        <f>-('Perfect Amounts'!D124-'Perfect Amounts'!E124+'Perfect Amounts'!D49-'Perfect Amounts'!E49-'Future Treasures'!C86)</f>
        <v>-4</v>
      </c>
      <c r="M31" s="67" t="s">
        <v>144</v>
      </c>
      <c r="N31" s="72"/>
    </row>
    <row r="32" spans="1:14" x14ac:dyDescent="0.25">
      <c r="A32" s="15">
        <f>'Perfect Amounts'!D113-'Perfect Amounts'!E113+'Perfect Amounts'!D119-'Perfect Amounts'!E119-F32</f>
        <v>10</v>
      </c>
      <c r="B32" s="15" t="s">
        <v>133</v>
      </c>
      <c r="C32" s="9">
        <v>500</v>
      </c>
      <c r="D32" s="9">
        <f t="shared" si="0"/>
        <v>250</v>
      </c>
      <c r="E32" s="23">
        <f t="shared" si="1"/>
        <v>5000</v>
      </c>
      <c r="F32" s="27"/>
      <c r="H32" s="115"/>
      <c r="I32" s="115"/>
      <c r="J32" s="115"/>
      <c r="K32" s="116"/>
      <c r="L32" s="14">
        <f>-('Perfect Amounts'!D127-'Perfect Amounts'!E127-'Future Treasures'!C90)</f>
        <v>-3</v>
      </c>
      <c r="M32" s="67" t="s">
        <v>141</v>
      </c>
      <c r="N32" s="72"/>
    </row>
    <row r="33" spans="1:14" x14ac:dyDescent="0.25">
      <c r="A33" s="15">
        <f>'Perfect Amounts'!D114-'Perfect Amounts'!E114+'Perfect Amounts'!D235-'Perfect Amounts'!E235+'Perfect Amounts'!D236-'Perfect Amounts'!E236-F33</f>
        <v>18</v>
      </c>
      <c r="B33" s="15" t="s">
        <v>132</v>
      </c>
      <c r="C33" s="9">
        <v>1000</v>
      </c>
      <c r="D33" s="9">
        <f t="shared" si="0"/>
        <v>500</v>
      </c>
      <c r="E33" s="23">
        <f t="shared" si="1"/>
        <v>18000</v>
      </c>
      <c r="F33" s="27"/>
      <c r="H33" s="115"/>
      <c r="I33" s="115"/>
      <c r="J33" s="115"/>
      <c r="K33" s="116"/>
      <c r="L33" s="14">
        <f>-('Perfect Amounts'!D130-'Perfect Amounts'!E130-'Future Treasures'!C92)</f>
        <v>-2</v>
      </c>
      <c r="M33" s="67" t="s">
        <v>142</v>
      </c>
      <c r="N33" s="72"/>
    </row>
    <row r="34" spans="1:14" x14ac:dyDescent="0.25">
      <c r="A34" s="15">
        <f>'Perfect Amounts'!D125-'Perfect Amounts'!E125+'Perfect Amounts'!D132-'Perfect Amounts'!E132-'Future Treasures'!C88-F34</f>
        <v>6</v>
      </c>
      <c r="B34" s="15" t="s">
        <v>143</v>
      </c>
      <c r="C34" s="9">
        <v>980</v>
      </c>
      <c r="D34" s="9">
        <f t="shared" si="0"/>
        <v>490</v>
      </c>
      <c r="E34" s="23">
        <f t="shared" si="1"/>
        <v>5880</v>
      </c>
      <c r="F34" s="27"/>
      <c r="H34" s="115"/>
      <c r="I34" s="115"/>
      <c r="J34" s="115"/>
      <c r="K34" s="116"/>
      <c r="L34" s="14">
        <f>-('Perfect Amounts'!D139-'Perfect Amounts'!E139+'Perfect Amounts'!D190-'Perfect Amounts'!E190-'Future Treasures'!C119)</f>
        <v>-12</v>
      </c>
      <c r="M34" s="67" t="s">
        <v>92</v>
      </c>
      <c r="N34" s="72"/>
    </row>
    <row r="35" spans="1:14" x14ac:dyDescent="0.25">
      <c r="A35" s="15">
        <f>'Perfect Amounts'!D126-'Perfect Amounts'!E126-F35</f>
        <v>3</v>
      </c>
      <c r="B35" s="15" t="s">
        <v>145</v>
      </c>
      <c r="C35" s="9">
        <v>1200</v>
      </c>
      <c r="D35" s="9">
        <f t="shared" si="0"/>
        <v>600</v>
      </c>
      <c r="E35" s="23">
        <f t="shared" si="1"/>
        <v>3600</v>
      </c>
      <c r="F35" s="27"/>
      <c r="L35" s="14">
        <f>-('Perfect Amounts'!D146-'Perfect Amounts'!E146)</f>
        <v>-7</v>
      </c>
      <c r="M35" s="67" t="s">
        <v>101</v>
      </c>
      <c r="N35" s="72"/>
    </row>
    <row r="36" spans="1:14" x14ac:dyDescent="0.25">
      <c r="A36" s="15">
        <f>'Perfect Amounts'!D141-'Perfect Amounts'!E141+'Perfect Amounts'!D240-'Perfect Amounts'!E240-F36</f>
        <v>9</v>
      </c>
      <c r="B36" s="15" t="s">
        <v>104</v>
      </c>
      <c r="C36" s="9">
        <v>800</v>
      </c>
      <c r="D36" s="9">
        <f t="shared" si="0"/>
        <v>400</v>
      </c>
      <c r="E36" s="23">
        <f t="shared" si="1"/>
        <v>7200</v>
      </c>
      <c r="F36" s="27"/>
      <c r="L36" s="14">
        <f>-('Perfect Amounts'!D147-'Perfect Amounts'!E147)</f>
        <v>-6</v>
      </c>
      <c r="M36" s="67" t="s">
        <v>93</v>
      </c>
      <c r="N36" s="72"/>
    </row>
    <row r="37" spans="1:14" x14ac:dyDescent="0.25">
      <c r="A37" s="15">
        <f>'Perfect Amounts'!D142-'Perfect Amounts'!E142-F37</f>
        <v>7</v>
      </c>
      <c r="B37" s="15" t="s">
        <v>109</v>
      </c>
      <c r="C37" s="9">
        <v>1000</v>
      </c>
      <c r="D37" s="9">
        <f t="shared" si="0"/>
        <v>500</v>
      </c>
      <c r="E37" s="23">
        <f t="shared" si="1"/>
        <v>7000</v>
      </c>
      <c r="F37" s="27"/>
      <c r="L37" s="14">
        <f>-('Perfect Amounts'!D159-'Perfect Amounts'!E159)</f>
        <v>-3</v>
      </c>
      <c r="M37" s="67" t="s">
        <v>120</v>
      </c>
      <c r="N37" s="72"/>
    </row>
    <row r="38" spans="1:14" x14ac:dyDescent="0.25">
      <c r="A38" s="15">
        <f>'Perfect Amounts'!D143-'Perfect Amounts'!E143+'Perfect Amounts'!D222-'Perfect Amounts'!E222-'Future Treasures'!C152-F38</f>
        <v>16</v>
      </c>
      <c r="B38" s="15" t="s">
        <v>113</v>
      </c>
      <c r="C38" s="9">
        <v>1200</v>
      </c>
      <c r="D38" s="9">
        <f t="shared" si="0"/>
        <v>600</v>
      </c>
      <c r="E38" s="23">
        <f t="shared" si="1"/>
        <v>19200</v>
      </c>
      <c r="F38" s="27"/>
      <c r="H38" s="115"/>
      <c r="I38" s="115"/>
      <c r="J38" s="115"/>
      <c r="K38" s="116"/>
      <c r="L38" s="14">
        <f>-('Perfect Amounts'!D167-'Perfect Amounts'!E167-'Future Treasures'!C104)</f>
        <v>-2</v>
      </c>
      <c r="M38" s="67" t="s">
        <v>249</v>
      </c>
      <c r="N38" s="72"/>
    </row>
    <row r="39" spans="1:14" x14ac:dyDescent="0.25">
      <c r="A39" s="15">
        <f>'Perfect Amounts'!D239-'Perfect Amounts'!E239+'Perfect Amounts'!D236-'Perfect Amounts'!E236+'Perfect Amounts'!D160-'Perfect Amounts'!E160-'Future Treasures'!C177-F39</f>
        <v>11</v>
      </c>
      <c r="B39" s="15" t="s">
        <v>114</v>
      </c>
      <c r="C39" s="9">
        <v>600</v>
      </c>
      <c r="D39" s="9">
        <f t="shared" si="0"/>
        <v>300</v>
      </c>
      <c r="E39" s="23">
        <f t="shared" si="1"/>
        <v>6600</v>
      </c>
      <c r="F39" s="27"/>
      <c r="L39" s="14">
        <f>-('Perfect Amounts'!D172-'Perfect Amounts'!E172)</f>
        <v>-3</v>
      </c>
      <c r="M39" s="67" t="s">
        <v>155</v>
      </c>
      <c r="N39" s="72"/>
    </row>
    <row r="40" spans="1:14" x14ac:dyDescent="0.25">
      <c r="A40" s="15">
        <f>'Perfect Amounts'!D161-'Perfect Amounts'!E161-F40</f>
        <v>3</v>
      </c>
      <c r="B40" s="15" t="s">
        <v>122</v>
      </c>
      <c r="C40" s="9">
        <v>1000</v>
      </c>
      <c r="D40" s="9">
        <f t="shared" si="0"/>
        <v>500</v>
      </c>
      <c r="E40" s="23">
        <f t="shared" si="1"/>
        <v>3000</v>
      </c>
      <c r="F40" s="27"/>
      <c r="L40" s="14">
        <f>-('Perfect Amounts'!D174-'Perfect Amounts'!E174)</f>
        <v>-3</v>
      </c>
      <c r="M40" s="67" t="s">
        <v>150</v>
      </c>
      <c r="N40" s="72"/>
    </row>
    <row r="41" spans="1:14" x14ac:dyDescent="0.25">
      <c r="A41" s="15">
        <f>'Perfect Amounts'!D162-'Perfect Amounts'!E162+'Perfect Amounts'!D155-'Perfect Amounts'!E155-F41</f>
        <v>10</v>
      </c>
      <c r="B41" s="15" t="s">
        <v>118</v>
      </c>
      <c r="C41" s="9">
        <v>1800</v>
      </c>
      <c r="D41" s="9">
        <f t="shared" si="0"/>
        <v>900</v>
      </c>
      <c r="E41" s="23">
        <f t="shared" si="1"/>
        <v>18000</v>
      </c>
      <c r="F41" s="27"/>
      <c r="L41" s="14">
        <f>-('Perfect Amounts'!D175-'Perfect Amounts'!E175+'Perfect Amounts'!D188-'Perfect Amounts'!E188)</f>
        <v>-10</v>
      </c>
      <c r="M41" s="67" t="s">
        <v>160</v>
      </c>
      <c r="N41" s="72"/>
    </row>
    <row r="42" spans="1:14" x14ac:dyDescent="0.25">
      <c r="A42" s="15">
        <f>'Perfect Amounts'!D177-'Perfect Amounts'!E177+'Perfect Amounts'!D191-'Perfect Amounts'!E191+'Perfect Amounts'!D195-'Perfect Amounts'!E195-'Future Treasures'!C129-F42</f>
        <v>15</v>
      </c>
      <c r="B42" s="15" t="s">
        <v>158</v>
      </c>
      <c r="C42" s="9">
        <v>1850</v>
      </c>
      <c r="D42" s="9">
        <f t="shared" si="0"/>
        <v>925</v>
      </c>
      <c r="E42" s="23">
        <f t="shared" si="1"/>
        <v>27750</v>
      </c>
      <c r="F42" s="27"/>
      <c r="L42" s="14">
        <f>-('Perfect Amounts'!D180-'Perfect Amounts'!E180)</f>
        <v>-7</v>
      </c>
      <c r="M42" s="67" t="s">
        <v>154</v>
      </c>
      <c r="N42" s="72"/>
    </row>
    <row r="43" spans="1:14" x14ac:dyDescent="0.25">
      <c r="A43" s="15">
        <f>'Perfect Amounts'!D178-'Perfect Amounts'!E178+'Perfect Amounts'!D222-'Perfect Amounts'!E222-'Future Treasures'!C111-'Future Treasures'!C152-F43</f>
        <v>16</v>
      </c>
      <c r="B43" s="15" t="s">
        <v>165</v>
      </c>
      <c r="C43" s="9">
        <v>2900</v>
      </c>
      <c r="D43" s="9">
        <f t="shared" si="0"/>
        <v>1450</v>
      </c>
      <c r="E43" s="23">
        <f t="shared" si="1"/>
        <v>46400</v>
      </c>
      <c r="F43" s="27"/>
      <c r="L43" s="14">
        <f>-('Perfect Amounts'!D200-'Perfect Amounts'!E200+'Perfect Amounts'!D212-'Perfect Amounts'!E212+'Perfect Amounts'!D221-'Perfect Amounts'!E221)</f>
        <v>-15</v>
      </c>
      <c r="M43" s="67" t="s">
        <v>175</v>
      </c>
      <c r="N43" s="72"/>
    </row>
    <row r="44" spans="1:14" x14ac:dyDescent="0.25">
      <c r="A44" s="15">
        <f>'Perfect Amounts'!D179-'Perfect Amounts'!E179-F44</f>
        <v>3</v>
      </c>
      <c r="B44" s="15" t="s">
        <v>148</v>
      </c>
      <c r="C44" s="9">
        <v>4300</v>
      </c>
      <c r="D44" s="9">
        <f t="shared" si="0"/>
        <v>2150</v>
      </c>
      <c r="E44" s="23">
        <f t="shared" si="1"/>
        <v>12900</v>
      </c>
      <c r="F44" s="27"/>
      <c r="L44" s="14">
        <f>-('Perfect Amounts'!D203-'Perfect Amounts'!E203)</f>
        <v>-3</v>
      </c>
      <c r="M44" s="67" t="s">
        <v>179</v>
      </c>
      <c r="N44" s="72"/>
    </row>
    <row r="45" spans="1:14" x14ac:dyDescent="0.25">
      <c r="A45" s="15">
        <f>'Perfect Amounts'!D201-'Perfect Amounts'!E201+'Perfect Amounts'!D212-'Perfect Amounts'!E212-F45</f>
        <v>6</v>
      </c>
      <c r="B45" s="15" t="s">
        <v>183</v>
      </c>
      <c r="C45" s="9">
        <v>1830</v>
      </c>
      <c r="D45" s="9">
        <f t="shared" si="0"/>
        <v>915</v>
      </c>
      <c r="E45" s="23">
        <f t="shared" si="1"/>
        <v>10980</v>
      </c>
      <c r="F45" s="27"/>
      <c r="L45" s="14">
        <f>-('Perfect Amounts'!D206-'Perfect Amounts'!E206)</f>
        <v>-3</v>
      </c>
      <c r="M45" s="67" t="s">
        <v>177</v>
      </c>
      <c r="N45" s="72"/>
    </row>
    <row r="46" spans="1:14" x14ac:dyDescent="0.25">
      <c r="A46" s="15">
        <f>'Perfect Amounts'!D202-'Perfect Amounts'!E202-F46</f>
        <v>3</v>
      </c>
      <c r="B46" s="15" t="s">
        <v>184</v>
      </c>
      <c r="C46" s="9">
        <v>2320</v>
      </c>
      <c r="D46" s="9">
        <f t="shared" si="0"/>
        <v>1160</v>
      </c>
      <c r="E46" s="23">
        <f t="shared" si="1"/>
        <v>6960</v>
      </c>
      <c r="F46" s="27"/>
      <c r="H46" s="115"/>
      <c r="I46" s="115"/>
      <c r="J46" s="115"/>
      <c r="K46" s="116"/>
      <c r="L46" s="14">
        <f>-('Perfect Amounts'!D210-'Perfect Amounts'!E210-'Future Treasures'!C138)</f>
        <v>-2</v>
      </c>
      <c r="M46" s="67" t="s">
        <v>178</v>
      </c>
      <c r="N46" s="72"/>
    </row>
    <row r="47" spans="1:14" x14ac:dyDescent="0.25">
      <c r="A47" s="96"/>
      <c r="B47" s="97"/>
      <c r="C47" s="97"/>
      <c r="D47" s="97"/>
      <c r="E47" s="97"/>
      <c r="F47" s="98"/>
      <c r="H47" s="115"/>
      <c r="I47" s="115"/>
      <c r="J47" s="115"/>
      <c r="K47" s="116"/>
      <c r="L47" s="14">
        <f>-('Perfect Amounts'!D219-'Perfect Amounts'!E219-'Future Treasures'!C148)</f>
        <v>-4</v>
      </c>
      <c r="M47" s="67" t="s">
        <v>225</v>
      </c>
      <c r="N47" s="72"/>
    </row>
    <row r="48" spans="1:14" x14ac:dyDescent="0.25">
      <c r="A48" s="15" t="s">
        <v>259</v>
      </c>
      <c r="B48" s="93">
        <f>SUM(E15:E46)</f>
        <v>375750</v>
      </c>
      <c r="C48" s="94"/>
      <c r="D48" s="94"/>
      <c r="E48" s="94"/>
      <c r="F48" s="95"/>
      <c r="L48" s="14">
        <f>-('Perfect Amounts'!D228-'Perfect Amounts'!E228)</f>
        <v>-10</v>
      </c>
      <c r="M48" s="67" t="s">
        <v>216</v>
      </c>
      <c r="N48" s="72"/>
    </row>
    <row r="49" spans="1:17" x14ac:dyDescent="0.25">
      <c r="A49" s="99" t="s">
        <v>267</v>
      </c>
      <c r="B49" s="100"/>
      <c r="C49" s="100"/>
      <c r="D49" s="100"/>
      <c r="E49" s="100"/>
      <c r="F49" s="101"/>
      <c r="L49" s="14">
        <f>-('Perfect Amounts'!D229-'Perfect Amounts'!E229-'Future Treasures'!C161)</f>
        <v>-2</v>
      </c>
      <c r="M49" s="67" t="s">
        <v>220</v>
      </c>
      <c r="N49" s="72"/>
    </row>
    <row r="50" spans="1:17" ht="15.75" customHeight="1" x14ac:dyDescent="0.25">
      <c r="A50" s="102"/>
      <c r="B50" s="103"/>
      <c r="C50" s="103"/>
      <c r="D50" s="103"/>
      <c r="E50" s="103"/>
      <c r="F50" s="104"/>
      <c r="H50" s="115"/>
      <c r="I50" s="115"/>
      <c r="J50" s="115"/>
      <c r="K50" s="116"/>
      <c r="L50" s="14">
        <f>-('Perfect Amounts'!D231-'Perfect Amounts'!E231-'Future Treasures'!C169)</f>
        <v>-3</v>
      </c>
      <c r="M50" s="67" t="s">
        <v>219</v>
      </c>
      <c r="N50" s="72"/>
    </row>
    <row r="51" spans="1:17" x14ac:dyDescent="0.25">
      <c r="A51" s="9" t="s">
        <v>257</v>
      </c>
      <c r="B51" s="9" t="s">
        <v>0</v>
      </c>
      <c r="C51" s="9" t="s">
        <v>4</v>
      </c>
      <c r="D51" s="9" t="s">
        <v>247</v>
      </c>
      <c r="E51" s="9" t="s">
        <v>5</v>
      </c>
      <c r="F51" s="21" t="s">
        <v>290</v>
      </c>
      <c r="H51" s="115"/>
      <c r="I51" s="115"/>
      <c r="J51" s="115"/>
      <c r="K51" s="116"/>
      <c r="L51" s="14">
        <f>-('Perfect Amounts'!D232-'Perfect Amounts'!E232-'Future Treasures'!C171)</f>
        <v>-1</v>
      </c>
      <c r="M51" s="67" t="s">
        <v>218</v>
      </c>
      <c r="N51" s="72"/>
    </row>
    <row r="52" spans="1:17" x14ac:dyDescent="0.25">
      <c r="A52" s="15">
        <f>'Perfect Amounts'!D24-'Perfect Amounts'!E24+'Perfect Amounts'!D30-'Perfect Amounts'!E30-'Future Treasures'!C26-'Future Treasures'!C26-F52</f>
        <v>4</v>
      </c>
      <c r="B52" s="15" t="s">
        <v>1</v>
      </c>
      <c r="C52" s="9">
        <v>320</v>
      </c>
      <c r="D52" s="9">
        <f>C52/2</f>
        <v>160</v>
      </c>
      <c r="E52" s="23">
        <f>IF(A52&gt;0,C52*A52,A52*D52)</f>
        <v>1280</v>
      </c>
      <c r="F52" s="27"/>
      <c r="H52" s="115"/>
      <c r="I52" s="115"/>
      <c r="J52" s="115"/>
      <c r="K52" s="116"/>
      <c r="L52" s="14">
        <f>-('Perfect Amounts'!D241-'Perfect Amounts'!E241-'Future Treasures'!C179)</f>
        <v>-4</v>
      </c>
      <c r="M52" s="67" t="s">
        <v>222</v>
      </c>
      <c r="N52" s="72"/>
    </row>
    <row r="53" spans="1:17" x14ac:dyDescent="0.25">
      <c r="A53" s="15">
        <f>'Perfect Amounts'!D25-'Perfect Amounts'!E25+'Perfect Amounts'!D30-'Perfect Amounts'!E30+'Perfect Amounts'!D31*2-'Perfect Amounts'!E31*2+'Perfect Amounts'!D32-'Perfect Amounts'!E32-F53</f>
        <v>10</v>
      </c>
      <c r="B53" s="15" t="s">
        <v>2</v>
      </c>
      <c r="C53" s="9">
        <v>500</v>
      </c>
      <c r="D53" s="9">
        <f t="shared" ref="D53:D67" si="2">C53/2</f>
        <v>250</v>
      </c>
      <c r="E53" s="23">
        <f t="shared" ref="E53:E67" si="3">IF(A53&gt;0,C53*A53,A53*D53)</f>
        <v>5000</v>
      </c>
      <c r="F53" s="27"/>
      <c r="L53" s="14">
        <f>-('Perfect Amounts'!D247-'Perfect Amounts'!E247-'Future Treasures'!C194)</f>
        <v>-3</v>
      </c>
      <c r="M53" s="67" t="s">
        <v>200</v>
      </c>
      <c r="N53" s="72"/>
      <c r="O53" s="40"/>
      <c r="P53" s="40"/>
      <c r="Q53" s="40"/>
    </row>
    <row r="54" spans="1:17" x14ac:dyDescent="0.25">
      <c r="A54" s="15">
        <f>'Perfect Amounts'!D39-'Perfect Amounts'!E39-'Future Treasures'!C30-F54</f>
        <v>2</v>
      </c>
      <c r="B54" s="15" t="s">
        <v>27</v>
      </c>
      <c r="C54" s="9">
        <v>330</v>
      </c>
      <c r="D54" s="9">
        <f t="shared" si="2"/>
        <v>165</v>
      </c>
      <c r="E54" s="23">
        <f t="shared" si="3"/>
        <v>660</v>
      </c>
      <c r="F54" s="27"/>
      <c r="L54" s="14">
        <f>-('Perfect Amounts'!D248-'Perfect Amounts'!E248-'Future Treasures'!C197)</f>
        <v>-2</v>
      </c>
      <c r="M54" s="67" t="s">
        <v>201</v>
      </c>
      <c r="N54" s="72"/>
      <c r="O54" s="40"/>
      <c r="P54" s="40"/>
      <c r="Q54" s="40"/>
    </row>
    <row r="55" spans="1:17" x14ac:dyDescent="0.25">
      <c r="A55" s="15">
        <f>'Perfect Amounts'!D39-'Perfect Amounts'!E39-F55</f>
        <v>2</v>
      </c>
      <c r="B55" s="15" t="s">
        <v>28</v>
      </c>
      <c r="C55" s="9">
        <v>660</v>
      </c>
      <c r="D55" s="9">
        <f t="shared" si="2"/>
        <v>330</v>
      </c>
      <c r="E55" s="23">
        <f t="shared" si="3"/>
        <v>1320</v>
      </c>
      <c r="F55" s="27"/>
      <c r="H55" s="115"/>
      <c r="I55" s="115"/>
      <c r="J55" s="115"/>
      <c r="K55" s="116"/>
      <c r="L55" s="14">
        <f>-('Perfect Amounts'!D249-'Perfect Amounts'!E249-'Future Treasures'!C200)</f>
        <v>-3</v>
      </c>
      <c r="M55" s="67" t="s">
        <v>210</v>
      </c>
      <c r="N55" s="72"/>
      <c r="O55" s="40"/>
      <c r="P55" s="40"/>
      <c r="Q55" s="40"/>
    </row>
    <row r="56" spans="1:17" x14ac:dyDescent="0.25">
      <c r="A56" s="15">
        <f>'Perfect Amounts'!D80-'Perfect Amounts'!E80+'Perfect Amounts'!D227-'Perfect Amounts'!E227-F56</f>
        <v>11</v>
      </c>
      <c r="B56" s="15" t="s">
        <v>72</v>
      </c>
      <c r="C56" s="9">
        <v>260</v>
      </c>
      <c r="D56" s="9">
        <f t="shared" si="2"/>
        <v>130</v>
      </c>
      <c r="E56" s="23">
        <f t="shared" si="3"/>
        <v>2860</v>
      </c>
      <c r="F56" s="27"/>
      <c r="H56" s="115"/>
      <c r="I56" s="115"/>
      <c r="J56" s="115"/>
      <c r="K56" s="116"/>
      <c r="L56" s="14">
        <f>-('Perfect Amounts'!D250-'Perfect Amounts'!E250-'Future Treasures'!C205)</f>
        <v>-2</v>
      </c>
      <c r="M56" s="67" t="s">
        <v>224</v>
      </c>
      <c r="N56" s="72"/>
    </row>
    <row r="57" spans="1:17" x14ac:dyDescent="0.25">
      <c r="A57" s="15">
        <f>'Perfect Amounts'!D195-'Perfect Amounts'!E195+'Perfect Amounts'!D191-'Perfect Amounts'!E191+'Perfect Amounts'!D93-'Perfect Amounts'!E93-'Future Treasures'!C64-'Future Treasures'!C129-F57</f>
        <v>12</v>
      </c>
      <c r="B57" s="15" t="s">
        <v>18</v>
      </c>
      <c r="C57" s="9">
        <v>320</v>
      </c>
      <c r="D57" s="9">
        <f t="shared" si="2"/>
        <v>160</v>
      </c>
      <c r="E57" s="23">
        <f t="shared" si="3"/>
        <v>3840</v>
      </c>
      <c r="F57" s="27"/>
    </row>
    <row r="58" spans="1:17" x14ac:dyDescent="0.25">
      <c r="A58" s="15">
        <f>'Perfect Amounts'!D109-'Perfect Amounts'!E109+'Perfect Amounts'!D189-'Perfect Amounts'!E189+'Perfect Amounts'!D192-'Perfect Amounts'!E192-F58</f>
        <v>14</v>
      </c>
      <c r="B58" s="15" t="s">
        <v>138</v>
      </c>
      <c r="C58" s="9">
        <v>130</v>
      </c>
      <c r="D58" s="9">
        <f t="shared" si="2"/>
        <v>65</v>
      </c>
      <c r="E58" s="23">
        <f t="shared" si="3"/>
        <v>1820</v>
      </c>
      <c r="F58" s="27"/>
    </row>
    <row r="59" spans="1:17" x14ac:dyDescent="0.25">
      <c r="A59" s="15">
        <f>'Perfect Amounts'!D110-'Perfect Amounts'!E110+'Perfect Amounts'!D168-'Perfect Amounts'!E168+'Perfect Amounts'!D223-'Perfect Amounts'!E223+'Perfect Amounts'!D221-'Perfect Amounts'!E221-F59</f>
        <v>28</v>
      </c>
      <c r="B59" s="15" t="s">
        <v>131</v>
      </c>
      <c r="C59" s="9">
        <v>200</v>
      </c>
      <c r="D59" s="9">
        <f t="shared" si="2"/>
        <v>100</v>
      </c>
      <c r="E59" s="23">
        <f t="shared" si="3"/>
        <v>5600</v>
      </c>
      <c r="F59" s="27"/>
    </row>
    <row r="60" spans="1:17" x14ac:dyDescent="0.25">
      <c r="A60" s="15">
        <f>'Perfect Amounts'!D123-'Perfect Amounts'!E123-F60</f>
        <v>3</v>
      </c>
      <c r="B60" s="15" t="s">
        <v>140</v>
      </c>
      <c r="C60" s="9">
        <v>480</v>
      </c>
      <c r="D60" s="9">
        <f t="shared" si="2"/>
        <v>240</v>
      </c>
      <c r="E60" s="23">
        <f t="shared" si="3"/>
        <v>1440</v>
      </c>
      <c r="F60" s="27"/>
    </row>
    <row r="61" spans="1:17" x14ac:dyDescent="0.25">
      <c r="A61" s="15">
        <f>'Perfect Amounts'!D133-'Perfect Amounts'!E133+'Perfect Amounts'!D122-'Perfect Amounts'!E122+'Perfect Amounts'!D213-'Perfect Amounts'!E213+'Perfect Amounts'!D214-'Perfect Amounts'!E214+'Perfect Amounts'!D215-'Perfect Amounts'!E215+'Perfect Amounts'!D217-'Perfect Amounts'!E217+'Perfect Amounts'!D218-'Perfect Amounts'!E218-'Future Treasures'!C144-'Future Treasures'!C146-F61</f>
        <v>59</v>
      </c>
      <c r="B61" s="15" t="s">
        <v>105</v>
      </c>
      <c r="C61" s="9">
        <v>150</v>
      </c>
      <c r="D61" s="9">
        <f t="shared" si="2"/>
        <v>75</v>
      </c>
      <c r="E61" s="23">
        <f t="shared" si="3"/>
        <v>8850</v>
      </c>
      <c r="F61" s="27"/>
    </row>
    <row r="62" spans="1:17" x14ac:dyDescent="0.25">
      <c r="A62" s="15">
        <f>'Perfect Amounts'!D233-'Perfect Amounts'!E233+'Perfect Amounts'!D135-'Perfect Amounts'!E135-F62</f>
        <v>15</v>
      </c>
      <c r="B62" s="15" t="s">
        <v>97</v>
      </c>
      <c r="C62" s="9">
        <v>200</v>
      </c>
      <c r="D62" s="9">
        <f t="shared" si="2"/>
        <v>100</v>
      </c>
      <c r="E62" s="23">
        <f t="shared" si="3"/>
        <v>3000</v>
      </c>
      <c r="F62" s="27"/>
    </row>
    <row r="63" spans="1:17" x14ac:dyDescent="0.25">
      <c r="A63" s="15">
        <f>'Perfect Amounts'!D157-'Perfect Amounts'!E157+'Perfect Amounts'!D78-'Perfect Amounts'!E78+'Perfect Amounts'!D238-'Perfect Amounts'!E238-'Future Treasures'!C175-F63</f>
        <v>10</v>
      </c>
      <c r="B63" s="15" t="s">
        <v>124</v>
      </c>
      <c r="C63" s="9">
        <v>250</v>
      </c>
      <c r="D63" s="9">
        <f t="shared" si="2"/>
        <v>125</v>
      </c>
      <c r="E63" s="23">
        <f t="shared" si="3"/>
        <v>2500</v>
      </c>
      <c r="F63" s="27"/>
    </row>
    <row r="64" spans="1:17" x14ac:dyDescent="0.25">
      <c r="A64" s="15">
        <f>'Perfect Amounts'!D158-'Perfect Amounts'!E158-F64</f>
        <v>3</v>
      </c>
      <c r="B64" s="15" t="s">
        <v>115</v>
      </c>
      <c r="C64" s="9">
        <v>330</v>
      </c>
      <c r="D64" s="9">
        <f t="shared" si="2"/>
        <v>165</v>
      </c>
      <c r="E64" s="23">
        <f t="shared" si="3"/>
        <v>990</v>
      </c>
      <c r="F64" s="27"/>
    </row>
    <row r="65" spans="1:8" x14ac:dyDescent="0.25">
      <c r="A65" s="15">
        <f>'Perfect Amounts'!D170-'Perfect Amounts'!E170+'Perfect Amounts'!D122-'Perfect Amounts'!E122+'Perfect Amounts'!D213-'Perfect Amounts'!E213+'Perfect Amounts'!D214-'Perfect Amounts'!E214+'Perfect Amounts'!D215-'Perfect Amounts'!E215+'Perfect Amounts'!D217-'Perfect Amounts'!E217+'Perfect Amounts'!D218-'Perfect Amounts'!E218-'Future Treasures'!C144-'Future Treasures'!C146-F65</f>
        <v>59</v>
      </c>
      <c r="B65" s="15" t="s">
        <v>156</v>
      </c>
      <c r="C65" s="9">
        <v>220</v>
      </c>
      <c r="D65" s="9">
        <f t="shared" si="2"/>
        <v>110</v>
      </c>
      <c r="E65" s="23">
        <f t="shared" si="3"/>
        <v>12980</v>
      </c>
      <c r="F65" s="27"/>
    </row>
    <row r="66" spans="1:8" x14ac:dyDescent="0.25">
      <c r="A66" s="15">
        <f>'Perfect Amounts'!D171-'Perfect Amounts'!E171+'Perfect Amounts'!D190-'Perfect Amounts'!E190-'Future Treasures'!C119-F66</f>
        <v>11</v>
      </c>
      <c r="B66" s="15" t="s">
        <v>164</v>
      </c>
      <c r="C66" s="9">
        <v>400</v>
      </c>
      <c r="D66" s="9">
        <f t="shared" si="2"/>
        <v>200</v>
      </c>
      <c r="E66" s="23">
        <f t="shared" si="3"/>
        <v>4400</v>
      </c>
      <c r="F66" s="27"/>
    </row>
    <row r="67" spans="1:8" x14ac:dyDescent="0.25">
      <c r="A67" s="15">
        <f>'Perfect Amounts'!D198-'Perfect Amounts'!E198-F67</f>
        <v>3</v>
      </c>
      <c r="B67" s="15" t="s">
        <v>173</v>
      </c>
      <c r="C67" s="9">
        <v>650</v>
      </c>
      <c r="D67" s="9">
        <f t="shared" si="2"/>
        <v>325</v>
      </c>
      <c r="E67" s="23">
        <f t="shared" si="3"/>
        <v>1950</v>
      </c>
      <c r="F67" s="27"/>
    </row>
    <row r="68" spans="1:8" x14ac:dyDescent="0.25">
      <c r="A68" s="96"/>
      <c r="B68" s="97"/>
      <c r="C68" s="97"/>
      <c r="D68" s="97"/>
      <c r="E68" s="97"/>
      <c r="F68" s="98"/>
    </row>
    <row r="69" spans="1:8" x14ac:dyDescent="0.25">
      <c r="A69" s="15" t="s">
        <v>259</v>
      </c>
      <c r="B69" s="93">
        <f>SUM(E52:E67)</f>
        <v>58490</v>
      </c>
      <c r="C69" s="94"/>
      <c r="D69" s="94"/>
      <c r="E69" s="94"/>
      <c r="F69" s="95"/>
    </row>
    <row r="70" spans="1:8" ht="21.75" customHeight="1" x14ac:dyDescent="0.25">
      <c r="A70" s="99" t="s">
        <v>268</v>
      </c>
      <c r="B70" s="100"/>
      <c r="C70" s="100"/>
      <c r="D70" s="100"/>
      <c r="E70" s="100"/>
      <c r="F70" s="101"/>
    </row>
    <row r="71" spans="1:8" ht="10.5" customHeight="1" x14ac:dyDescent="0.25">
      <c r="A71" s="102"/>
      <c r="B71" s="103"/>
      <c r="C71" s="103"/>
      <c r="D71" s="103"/>
      <c r="E71" s="103"/>
      <c r="F71" s="104"/>
    </row>
    <row r="72" spans="1:8" x14ac:dyDescent="0.25">
      <c r="A72" s="9" t="s">
        <v>257</v>
      </c>
      <c r="B72" s="9" t="s">
        <v>0</v>
      </c>
      <c r="C72" s="9" t="s">
        <v>4</v>
      </c>
      <c r="D72" s="9" t="s">
        <v>247</v>
      </c>
      <c r="E72" s="9" t="s">
        <v>5</v>
      </c>
      <c r="F72" s="21" t="s">
        <v>290</v>
      </c>
    </row>
    <row r="73" spans="1:8" x14ac:dyDescent="0.25">
      <c r="A73" s="15">
        <f>'Perfect Amounts'!D55-'Perfect Amounts'!E55-F73</f>
        <v>2</v>
      </c>
      <c r="B73" s="15" t="s">
        <v>43</v>
      </c>
      <c r="C73" s="9">
        <v>1100</v>
      </c>
      <c r="D73" s="9">
        <f>C73/2</f>
        <v>550</v>
      </c>
      <c r="E73" s="23">
        <f>IF(A73&gt;0,A73*C73,D73*A73)</f>
        <v>2200</v>
      </c>
      <c r="F73" s="27"/>
    </row>
    <row r="74" spans="1:8" x14ac:dyDescent="0.25">
      <c r="A74" s="15">
        <f>'Perfect Amounts'!D75-'Perfect Amounts'!E75+'Perfect Amounts'!D240-'Perfect Amounts'!E240-F74</f>
        <v>7</v>
      </c>
      <c r="B74" s="15" t="s">
        <v>86</v>
      </c>
      <c r="C74" s="9">
        <v>750</v>
      </c>
      <c r="D74" s="9">
        <f t="shared" ref="D74:D88" si="4">C74/2</f>
        <v>375</v>
      </c>
      <c r="E74" s="23">
        <f t="shared" ref="E74:E88" si="5">IF(A74&gt;0,A74*C74,D74*A74)</f>
        <v>5250</v>
      </c>
      <c r="F74" s="27"/>
    </row>
    <row r="75" spans="1:8" x14ac:dyDescent="0.25">
      <c r="A75" s="15">
        <f>'Perfect Amounts'!D188-'Perfect Amounts'!E188+'Perfect Amounts'!D81-'Perfect Amounts'!E81-F75</f>
        <v>5</v>
      </c>
      <c r="B75" s="15" t="s">
        <v>73</v>
      </c>
      <c r="C75" s="9">
        <v>560</v>
      </c>
      <c r="D75" s="9">
        <f t="shared" si="4"/>
        <v>280</v>
      </c>
      <c r="E75" s="23">
        <f t="shared" si="5"/>
        <v>2800</v>
      </c>
      <c r="F75" s="27"/>
    </row>
    <row r="76" spans="1:8" x14ac:dyDescent="0.25">
      <c r="A76" s="15">
        <f>'Perfect Amounts'!D103-'Perfect Amounts'!E103+'Perfect Amounts'!D236-'Perfect Amounts'!E236+'Perfect Amounts'!D239-'Perfect Amounts'!E239-'Future Treasures'!C177-F76</f>
        <v>10</v>
      </c>
      <c r="B76" s="15" t="s">
        <v>66</v>
      </c>
      <c r="C76" s="9">
        <v>3100</v>
      </c>
      <c r="D76" s="9">
        <f t="shared" si="4"/>
        <v>1550</v>
      </c>
      <c r="E76" s="23">
        <f t="shared" si="5"/>
        <v>31000</v>
      </c>
      <c r="F76" s="27"/>
    </row>
    <row r="77" spans="1:8" x14ac:dyDescent="0.25">
      <c r="A77" s="15">
        <f>'Perfect Amounts'!D21-'Perfect Amounts'!E21</f>
        <v>99</v>
      </c>
      <c r="B77" s="15" t="s">
        <v>63</v>
      </c>
      <c r="C77" s="9">
        <v>500</v>
      </c>
      <c r="D77" s="9">
        <f t="shared" si="4"/>
        <v>250</v>
      </c>
      <c r="E77" s="23">
        <f t="shared" si="5"/>
        <v>49500</v>
      </c>
      <c r="F77" s="27"/>
      <c r="H77" s="13" t="s">
        <v>422</v>
      </c>
    </row>
    <row r="78" spans="1:8" x14ac:dyDescent="0.25">
      <c r="A78" s="15">
        <f>'Perfect Amounts'!D196-'Perfect Amounts'!E196+'Perfect Amounts'!D194-'Perfect Amounts'!E194+'Perfect Amounts'!D117-'Perfect Amounts'!E117-'Future Treasures'!C80-'Future Treasures'!C80-'Future Treasures'!C127-'Future Treasures'!C131-F78</f>
        <v>15</v>
      </c>
      <c r="B78" s="15" t="s">
        <v>134</v>
      </c>
      <c r="C78" s="9">
        <v>3000</v>
      </c>
      <c r="D78" s="9">
        <f t="shared" si="4"/>
        <v>1500</v>
      </c>
      <c r="E78" s="23">
        <f t="shared" si="5"/>
        <v>45000</v>
      </c>
      <c r="F78" s="27"/>
    </row>
    <row r="79" spans="1:8" x14ac:dyDescent="0.25">
      <c r="A79" s="15">
        <f>'Perfect Amounts'!D118-'Perfect Amounts'!E118+'Perfect Amounts'!D193-'Perfect Amounts'!E193+'Perfect Amounts'!D196-'Perfect Amounts'!E196-'Future Treasures'!C82-'Future Treasures'!C125-'Future Treasures'!C131-F79</f>
        <v>15</v>
      </c>
      <c r="B79" s="15" t="s">
        <v>130</v>
      </c>
      <c r="C79" s="9">
        <v>3400</v>
      </c>
      <c r="D79" s="9">
        <f t="shared" si="4"/>
        <v>1700</v>
      </c>
      <c r="E79" s="23">
        <f t="shared" si="5"/>
        <v>51000</v>
      </c>
      <c r="F79" s="27"/>
    </row>
    <row r="80" spans="1:8" x14ac:dyDescent="0.25">
      <c r="A80" s="15">
        <f>'Perfect Amounts'!D128-'Perfect Amounts'!E128+'Perfect Amounts'!D122-'Perfect Amounts'!E122-F80</f>
        <v>10</v>
      </c>
      <c r="B80" s="15" t="s">
        <v>254</v>
      </c>
      <c r="C80" s="9">
        <v>2800</v>
      </c>
      <c r="D80" s="9">
        <f t="shared" si="4"/>
        <v>1400</v>
      </c>
      <c r="E80" s="23">
        <f t="shared" si="5"/>
        <v>28000</v>
      </c>
      <c r="F80" s="27"/>
    </row>
    <row r="81" spans="1:6" x14ac:dyDescent="0.25">
      <c r="A81" s="15">
        <f>'Perfect Amounts'!D148-'Perfect Amounts'!E148-F81</f>
        <v>7</v>
      </c>
      <c r="B81" s="15" t="s">
        <v>108</v>
      </c>
      <c r="C81" s="9">
        <v>3000</v>
      </c>
      <c r="D81" s="9">
        <f t="shared" si="4"/>
        <v>1500</v>
      </c>
      <c r="E81" s="23">
        <f t="shared" si="5"/>
        <v>21000</v>
      </c>
      <c r="F81" s="27"/>
    </row>
    <row r="82" spans="1:6" x14ac:dyDescent="0.25">
      <c r="A82" s="15">
        <f>'Perfect Amounts'!D149-'Perfect Amounts'!E149+'Perfect Amounts'!D155-'Perfect Amounts'!E155-F82</f>
        <v>14</v>
      </c>
      <c r="B82" s="15" t="s">
        <v>99</v>
      </c>
      <c r="C82" s="9">
        <v>3700</v>
      </c>
      <c r="D82" s="9">
        <f t="shared" si="4"/>
        <v>1850</v>
      </c>
      <c r="E82" s="23">
        <f t="shared" si="5"/>
        <v>51800</v>
      </c>
      <c r="F82" s="27"/>
    </row>
    <row r="83" spans="1:6" x14ac:dyDescent="0.25">
      <c r="A83" s="15">
        <f>'Perfect Amounts'!D163-'Perfect Amounts'!E163+'Perfect Amounts'!D168-'Perfect Amounts'!E168-F83</f>
        <v>6</v>
      </c>
      <c r="B83" s="15" t="s">
        <v>116</v>
      </c>
      <c r="C83" s="9">
        <v>2200</v>
      </c>
      <c r="D83" s="9">
        <f t="shared" si="4"/>
        <v>1100</v>
      </c>
      <c r="E83" s="23">
        <f t="shared" si="5"/>
        <v>13200</v>
      </c>
      <c r="F83" s="27"/>
    </row>
    <row r="84" spans="1:6" x14ac:dyDescent="0.25">
      <c r="A84" s="15">
        <f>'Perfect Amounts'!D164-'Perfect Amounts'!E164-F84</f>
        <v>3</v>
      </c>
      <c r="B84" s="15" t="s">
        <v>117</v>
      </c>
      <c r="C84" s="9">
        <v>3000</v>
      </c>
      <c r="D84" s="9">
        <f t="shared" si="4"/>
        <v>1500</v>
      </c>
      <c r="E84" s="23">
        <f t="shared" si="5"/>
        <v>9000</v>
      </c>
      <c r="F84" s="27"/>
    </row>
    <row r="85" spans="1:6" x14ac:dyDescent="0.25">
      <c r="A85" s="15">
        <f>'Perfect Amounts'!D181-'Perfect Amounts'!E181-F85</f>
        <v>7</v>
      </c>
      <c r="B85" s="15" t="s">
        <v>162</v>
      </c>
      <c r="C85" s="9">
        <v>7200</v>
      </c>
      <c r="D85" s="9">
        <f t="shared" si="4"/>
        <v>3600</v>
      </c>
      <c r="E85" s="23">
        <f t="shared" si="5"/>
        <v>50400</v>
      </c>
      <c r="F85" s="27"/>
    </row>
    <row r="86" spans="1:6" x14ac:dyDescent="0.25">
      <c r="A86" s="15">
        <f>'Perfect Amounts'!D182-'Perfect Amounts'!E182+'Perfect Amounts'!D193-'Perfect Amounts'!E193+'Perfect Amounts'!D194-'Perfect Amounts'!E194+'Perfect Amounts'!D196*2-'Perfect Amounts'!E196*2-'Future Treasures'!C113-'Future Treasures'!C131-'Future Treasures'!C127-'Future Treasures'!C125-F86</f>
        <v>23</v>
      </c>
      <c r="B86" s="15" t="s">
        <v>153</v>
      </c>
      <c r="C86" s="9">
        <v>8700</v>
      </c>
      <c r="D86" s="9">
        <f t="shared" si="4"/>
        <v>4350</v>
      </c>
      <c r="E86" s="23">
        <f t="shared" si="5"/>
        <v>200100</v>
      </c>
      <c r="F86" s="27"/>
    </row>
    <row r="87" spans="1:6" x14ac:dyDescent="0.25">
      <c r="A87" s="15">
        <f>'Perfect Amounts'!D204-'Perfect Amounts'!E204-'Future Treasures'!C134-F87</f>
        <v>3</v>
      </c>
      <c r="B87" s="15" t="s">
        <v>186</v>
      </c>
      <c r="C87" s="9">
        <v>4300</v>
      </c>
      <c r="D87" s="9">
        <f t="shared" si="4"/>
        <v>2150</v>
      </c>
      <c r="E87" s="23">
        <f t="shared" si="5"/>
        <v>12900</v>
      </c>
      <c r="F87" s="27"/>
    </row>
    <row r="88" spans="1:6" x14ac:dyDescent="0.25">
      <c r="A88" s="15">
        <f>'Perfect Amounts'!D205-'Perfect Amounts'!E205-'Future Treasures'!C136-F88</f>
        <v>3</v>
      </c>
      <c r="B88" s="15" t="s">
        <v>176</v>
      </c>
      <c r="C88" s="9">
        <v>5900</v>
      </c>
      <c r="D88" s="9">
        <f t="shared" si="4"/>
        <v>2950</v>
      </c>
      <c r="E88" s="23">
        <f t="shared" si="5"/>
        <v>17700</v>
      </c>
      <c r="F88" s="27"/>
    </row>
    <row r="89" spans="1:6" x14ac:dyDescent="0.25">
      <c r="A89" s="96"/>
      <c r="B89" s="97"/>
      <c r="C89" s="97"/>
      <c r="D89" s="97"/>
      <c r="E89" s="97"/>
      <c r="F89" s="98"/>
    </row>
    <row r="90" spans="1:6" x14ac:dyDescent="0.25">
      <c r="A90" s="15" t="s">
        <v>259</v>
      </c>
      <c r="B90" s="93">
        <f>SUM(E73:E88)</f>
        <v>590850</v>
      </c>
      <c r="C90" s="94"/>
      <c r="D90" s="94"/>
      <c r="E90" s="94"/>
      <c r="F90" s="95"/>
    </row>
    <row r="91" spans="1:6" x14ac:dyDescent="0.25">
      <c r="A91" s="99" t="s">
        <v>269</v>
      </c>
      <c r="B91" s="100"/>
      <c r="C91" s="100"/>
      <c r="D91" s="100"/>
      <c r="E91" s="100"/>
      <c r="F91" s="101"/>
    </row>
    <row r="92" spans="1:6" ht="16.5" customHeight="1" x14ac:dyDescent="0.25">
      <c r="A92" s="102"/>
      <c r="B92" s="103"/>
      <c r="C92" s="103"/>
      <c r="D92" s="103"/>
      <c r="E92" s="103"/>
      <c r="F92" s="104"/>
    </row>
    <row r="93" spans="1:6" x14ac:dyDescent="0.25">
      <c r="A93" s="9" t="s">
        <v>257</v>
      </c>
      <c r="B93" s="9" t="s">
        <v>0</v>
      </c>
      <c r="C93" s="9" t="s">
        <v>4</v>
      </c>
      <c r="D93" s="9" t="s">
        <v>247</v>
      </c>
      <c r="E93" s="9" t="s">
        <v>5</v>
      </c>
      <c r="F93" s="21" t="s">
        <v>290</v>
      </c>
    </row>
    <row r="94" spans="1:6" x14ac:dyDescent="0.25">
      <c r="A94" s="15">
        <f>'Perfect Amounts'!D36-'Perfect Amounts'!E36+'Perfect Amounts'!D29-'Perfect Amounts'!E29-F94</f>
        <v>4</v>
      </c>
      <c r="B94" s="15" t="s">
        <v>15</v>
      </c>
      <c r="C94" s="9">
        <v>17000</v>
      </c>
      <c r="D94" s="9">
        <f>C94/2</f>
        <v>8500</v>
      </c>
      <c r="E94" s="23">
        <f>IF(A94&gt;0,C94*A94,A94*D94)</f>
        <v>68000</v>
      </c>
      <c r="F94" s="27"/>
    </row>
    <row r="95" spans="1:6" x14ac:dyDescent="0.25">
      <c r="A95" s="15">
        <f>'Perfect Amounts'!D48-'Perfect Amounts'!E48-F95</f>
        <v>2</v>
      </c>
      <c r="B95" s="15" t="s">
        <v>36</v>
      </c>
      <c r="C95" s="9">
        <v>9340</v>
      </c>
      <c r="D95" s="9">
        <f t="shared" ref="D95:D120" si="6">C95/2</f>
        <v>4670</v>
      </c>
      <c r="E95" s="23">
        <f t="shared" ref="E95:E120" si="7">IF(A95&gt;0,C95*A95,A95*D95)</f>
        <v>18680</v>
      </c>
      <c r="F95" s="27"/>
    </row>
    <row r="96" spans="1:6" x14ac:dyDescent="0.25">
      <c r="A96" s="15">
        <f>'Perfect Amounts'!D50-'Perfect Amounts'!E50-F96</f>
        <v>2</v>
      </c>
      <c r="B96" s="15" t="s">
        <v>37</v>
      </c>
      <c r="C96" s="9">
        <v>14000</v>
      </c>
      <c r="D96" s="9">
        <f t="shared" si="6"/>
        <v>7000</v>
      </c>
      <c r="E96" s="23">
        <f t="shared" si="7"/>
        <v>28000</v>
      </c>
      <c r="F96" s="27"/>
    </row>
    <row r="97" spans="1:6" x14ac:dyDescent="0.25">
      <c r="A97" s="15">
        <f>'Perfect Amounts'!D61-'Perfect Amounts'!E61+'Perfect Amounts'!D156-'Perfect Amounts'!E156+'Perfect Amounts'!D225-'Perfect Amounts'!E225-'Future Treasures'!C102-'Future Treasures'!C156-F97</f>
        <v>18</v>
      </c>
      <c r="B97" s="15" t="s">
        <v>251</v>
      </c>
      <c r="C97" s="9">
        <v>11000</v>
      </c>
      <c r="D97" s="9">
        <f t="shared" si="6"/>
        <v>5500</v>
      </c>
      <c r="E97" s="23">
        <f t="shared" si="7"/>
        <v>198000</v>
      </c>
      <c r="F97" s="27"/>
    </row>
    <row r="98" spans="1:6" x14ac:dyDescent="0.25">
      <c r="A98" s="15">
        <f>'Perfect Amounts'!D70-'Perfect Amounts'!E70-F98</f>
        <v>2</v>
      </c>
      <c r="B98" s="15" t="s">
        <v>58</v>
      </c>
      <c r="C98" s="9">
        <v>16000</v>
      </c>
      <c r="D98" s="9">
        <f t="shared" si="6"/>
        <v>8000</v>
      </c>
      <c r="E98" s="23">
        <f t="shared" si="7"/>
        <v>32000</v>
      </c>
      <c r="F98" s="27"/>
    </row>
    <row r="99" spans="1:6" x14ac:dyDescent="0.25">
      <c r="A99" s="15">
        <f>'Perfect Amounts'!D71-'Perfect Amounts'!E71-'Future Treasures'!C48-F99</f>
        <v>2</v>
      </c>
      <c r="B99" s="15" t="s">
        <v>59</v>
      </c>
      <c r="C99" s="9">
        <v>18000</v>
      </c>
      <c r="D99" s="9">
        <f t="shared" si="6"/>
        <v>9000</v>
      </c>
      <c r="E99" s="23">
        <f t="shared" si="7"/>
        <v>36000</v>
      </c>
      <c r="F99" s="27"/>
    </row>
    <row r="100" spans="1:6" x14ac:dyDescent="0.25">
      <c r="A100" s="15">
        <f>'Perfect Amounts'!D77-'Perfect Amounts'!E77-F100</f>
        <v>3</v>
      </c>
      <c r="B100" s="15" t="s">
        <v>88</v>
      </c>
      <c r="C100" s="9">
        <v>2250</v>
      </c>
      <c r="D100" s="9">
        <f t="shared" si="6"/>
        <v>1125</v>
      </c>
      <c r="E100" s="23">
        <f t="shared" si="7"/>
        <v>6750</v>
      </c>
      <c r="F100" s="27"/>
    </row>
    <row r="101" spans="1:6" x14ac:dyDescent="0.25">
      <c r="A101" s="15">
        <f>'Perfect Amounts'!D102-'Perfect Amounts'!E102+'Perfect Amounts'!D122-'Perfect Amounts'!E122+'Perfect Amounts'!D215-'Perfect Amounts'!E215+'Perfect Amounts'!D214-'Perfect Amounts'!E214+'Perfect Amounts'!D217-'Perfect Amounts'!E217+'Perfect Amounts'!D218-'Perfect Amounts'!E218-'Future Treasures'!C70-'Future Treasures'!C144-'Future Treasures'!C146-F101</f>
        <v>45</v>
      </c>
      <c r="B101" s="15" t="s">
        <v>65</v>
      </c>
      <c r="C101" s="9">
        <v>1100</v>
      </c>
      <c r="D101" s="9">
        <f t="shared" si="6"/>
        <v>550</v>
      </c>
      <c r="E101" s="23">
        <f t="shared" si="7"/>
        <v>49500</v>
      </c>
      <c r="F101" s="27"/>
    </row>
    <row r="102" spans="1:6" x14ac:dyDescent="0.25">
      <c r="A102" s="15">
        <f>'Perfect Amounts'!D106-'Perfect Amounts'!E106-F102</f>
        <v>2</v>
      </c>
      <c r="B102" s="15" t="s">
        <v>69</v>
      </c>
      <c r="C102" s="9">
        <v>10300</v>
      </c>
      <c r="D102" s="9">
        <f t="shared" si="6"/>
        <v>5150</v>
      </c>
      <c r="E102" s="23">
        <f t="shared" si="7"/>
        <v>20600</v>
      </c>
      <c r="F102" s="27"/>
    </row>
    <row r="103" spans="1:6" x14ac:dyDescent="0.25">
      <c r="A103" s="15" t="s">
        <v>421</v>
      </c>
      <c r="B103" s="15" t="s">
        <v>63</v>
      </c>
      <c r="C103" s="9">
        <v>500</v>
      </c>
      <c r="D103" s="9">
        <f t="shared" si="6"/>
        <v>250</v>
      </c>
      <c r="E103" s="23"/>
      <c r="F103" s="27"/>
    </row>
    <row r="104" spans="1:6" x14ac:dyDescent="0.25">
      <c r="A104" s="15">
        <f>'Perfect Amounts'!D116-'Perfect Amounts'!E116+'Perfect Amounts'!D187-'Perfect Amounts'!E187-F104</f>
        <v>11</v>
      </c>
      <c r="B104" s="15" t="s">
        <v>263</v>
      </c>
      <c r="C104" s="9">
        <v>2000</v>
      </c>
      <c r="D104" s="9">
        <f t="shared" si="6"/>
        <v>1000</v>
      </c>
      <c r="E104" s="23">
        <f t="shared" si="7"/>
        <v>22000</v>
      </c>
      <c r="F104" s="27"/>
    </row>
    <row r="105" spans="1:6" x14ac:dyDescent="0.25">
      <c r="A105" s="15">
        <f>'Perfect Amounts'!D132-'Perfect Amounts'!E132+'Perfect Amounts'!D120-'Perfect Amounts'!E120-F105</f>
        <v>11</v>
      </c>
      <c r="B105" s="15" t="s">
        <v>128</v>
      </c>
      <c r="C105" s="9">
        <v>4800</v>
      </c>
      <c r="D105" s="9">
        <f t="shared" si="6"/>
        <v>2400</v>
      </c>
      <c r="E105" s="23">
        <f t="shared" si="7"/>
        <v>52800</v>
      </c>
      <c r="F105" s="27"/>
    </row>
    <row r="106" spans="1:6" x14ac:dyDescent="0.25">
      <c r="A106" s="15">
        <f>'Perfect Amounts'!D121-'Perfect Amounts'!E121-F106</f>
        <v>7</v>
      </c>
      <c r="B106" s="15" t="s">
        <v>136</v>
      </c>
      <c r="C106" s="9">
        <v>5100</v>
      </c>
      <c r="D106" s="9">
        <f t="shared" si="6"/>
        <v>2550</v>
      </c>
      <c r="E106" s="23">
        <f t="shared" si="7"/>
        <v>35700</v>
      </c>
      <c r="F106" s="27"/>
    </row>
    <row r="107" spans="1:6" x14ac:dyDescent="0.25">
      <c r="A107" s="15">
        <f>'Perfect Amounts'!D129-'Perfect Amounts'!E129-F107</f>
        <v>3</v>
      </c>
      <c r="B107" s="15" t="s">
        <v>264</v>
      </c>
      <c r="C107" s="9">
        <v>6000</v>
      </c>
      <c r="D107" s="9">
        <f t="shared" si="6"/>
        <v>3000</v>
      </c>
      <c r="E107" s="23">
        <f t="shared" si="7"/>
        <v>18000</v>
      </c>
      <c r="F107" s="27"/>
    </row>
    <row r="108" spans="1:6" x14ac:dyDescent="0.25">
      <c r="A108" s="15">
        <f>'Perfect Amounts'!D131-'Perfect Amounts'!E131-F108</f>
        <v>2</v>
      </c>
      <c r="B108" s="15" t="s">
        <v>265</v>
      </c>
      <c r="C108" s="9">
        <v>7000</v>
      </c>
      <c r="D108" s="9">
        <f t="shared" si="6"/>
        <v>3500</v>
      </c>
      <c r="E108" s="23">
        <f t="shared" si="7"/>
        <v>14000</v>
      </c>
      <c r="F108" s="27"/>
    </row>
    <row r="109" spans="1:6" x14ac:dyDescent="0.25">
      <c r="A109" s="15">
        <f>'Perfect Amounts'!D140-'Perfect Amounts'!E140-F109</f>
        <v>5</v>
      </c>
      <c r="B109" s="15" t="s">
        <v>106</v>
      </c>
      <c r="C109" s="9">
        <v>600</v>
      </c>
      <c r="D109" s="9">
        <f t="shared" si="6"/>
        <v>300</v>
      </c>
      <c r="E109" s="23">
        <f t="shared" si="7"/>
        <v>3000</v>
      </c>
      <c r="F109" s="27"/>
    </row>
    <row r="110" spans="1:6" x14ac:dyDescent="0.25">
      <c r="A110" s="15">
        <f>'Perfect Amounts'!D150-'Perfect Amounts'!E150+'Perfect Amounts'!D156-'Perfect Amounts'!E156-'Future Treasures'!C102-F110</f>
        <v>14</v>
      </c>
      <c r="B110" s="15" t="s">
        <v>95</v>
      </c>
      <c r="C110" s="9">
        <v>4400</v>
      </c>
      <c r="D110" s="9">
        <f t="shared" si="6"/>
        <v>2200</v>
      </c>
      <c r="E110" s="23">
        <f t="shared" si="7"/>
        <v>61600</v>
      </c>
      <c r="F110" s="27"/>
    </row>
    <row r="111" spans="1:6" x14ac:dyDescent="0.25">
      <c r="A111" s="15">
        <f>'Perfect Amounts'!D151-'Perfect Amounts'!E151-F111</f>
        <v>6</v>
      </c>
      <c r="B111" s="15" t="s">
        <v>98</v>
      </c>
      <c r="C111" s="9">
        <v>5200</v>
      </c>
      <c r="D111" s="9">
        <f t="shared" si="6"/>
        <v>2600</v>
      </c>
      <c r="E111" s="23">
        <f t="shared" si="7"/>
        <v>31200</v>
      </c>
      <c r="F111" s="27"/>
    </row>
    <row r="112" spans="1:6" x14ac:dyDescent="0.25">
      <c r="A112" s="15">
        <f>'Perfect Amounts'!D152-'Perfect Amounts'!E152-F112</f>
        <v>7</v>
      </c>
      <c r="B112" s="15" t="s">
        <v>91</v>
      </c>
      <c r="C112" s="9">
        <v>6100</v>
      </c>
      <c r="D112" s="9">
        <f t="shared" si="6"/>
        <v>3050</v>
      </c>
      <c r="E112" s="23">
        <f t="shared" si="7"/>
        <v>42700</v>
      </c>
      <c r="F112" s="27"/>
    </row>
    <row r="113" spans="1:6" x14ac:dyDescent="0.25">
      <c r="A113" s="15">
        <f>'Perfect Amounts'!D165-'Perfect Amounts'!E165-F113</f>
        <v>3</v>
      </c>
      <c r="B113" s="15" t="s">
        <v>123</v>
      </c>
      <c r="C113" s="9">
        <v>4600</v>
      </c>
      <c r="D113" s="9">
        <f t="shared" si="6"/>
        <v>2300</v>
      </c>
      <c r="E113" s="23">
        <f t="shared" si="7"/>
        <v>13800</v>
      </c>
      <c r="F113" s="27"/>
    </row>
    <row r="114" spans="1:6" x14ac:dyDescent="0.25">
      <c r="A114" s="15">
        <f>'Perfect Amounts'!D166-'Perfect Amounts'!E166-F114</f>
        <v>3</v>
      </c>
      <c r="B114" s="15" t="s">
        <v>121</v>
      </c>
      <c r="C114" s="9">
        <v>7120</v>
      </c>
      <c r="D114" s="9">
        <f t="shared" si="6"/>
        <v>3560</v>
      </c>
      <c r="E114" s="23">
        <f t="shared" si="7"/>
        <v>21360</v>
      </c>
      <c r="F114" s="27"/>
    </row>
    <row r="115" spans="1:6" x14ac:dyDescent="0.25">
      <c r="A115" s="15">
        <f>'Perfect Amounts'!D183-'Perfect Amounts'!E183-F115</f>
        <v>7</v>
      </c>
      <c r="B115" s="15" t="s">
        <v>152</v>
      </c>
      <c r="C115" s="9">
        <v>10250</v>
      </c>
      <c r="D115" s="9">
        <f t="shared" si="6"/>
        <v>5125</v>
      </c>
      <c r="E115" s="23">
        <f t="shared" si="7"/>
        <v>71750</v>
      </c>
      <c r="F115" s="27"/>
    </row>
    <row r="116" spans="1:6" x14ac:dyDescent="0.25">
      <c r="A116" s="15">
        <f>'Perfect Amounts'!D184-'Perfect Amounts'!E184+'Perfect Amounts'!D187-'Perfect Amounts'!E187-F116</f>
        <v>8</v>
      </c>
      <c r="B116" s="15" t="s">
        <v>159</v>
      </c>
      <c r="C116" s="9">
        <v>12200</v>
      </c>
      <c r="D116" s="9">
        <f t="shared" si="6"/>
        <v>6100</v>
      </c>
      <c r="E116" s="23">
        <f t="shared" si="7"/>
        <v>97600</v>
      </c>
      <c r="F116" s="27"/>
    </row>
    <row r="117" spans="1:6" x14ac:dyDescent="0.25">
      <c r="A117" s="15">
        <f>'Perfect Amounts'!D185-'Perfect Amounts'!E185-'Future Treasures'!C115-F117</f>
        <v>3</v>
      </c>
      <c r="B117" s="15" t="s">
        <v>161</v>
      </c>
      <c r="C117" s="9">
        <v>14000</v>
      </c>
      <c r="D117" s="9">
        <f t="shared" si="6"/>
        <v>7000</v>
      </c>
      <c r="E117" s="23">
        <f t="shared" si="7"/>
        <v>42000</v>
      </c>
      <c r="F117" s="27"/>
    </row>
    <row r="118" spans="1:6" x14ac:dyDescent="0.25">
      <c r="A118" s="15">
        <f>'Perfect Amounts'!D207-'Perfect Amounts'!E207-F118</f>
        <v>3</v>
      </c>
      <c r="B118" s="15" t="s">
        <v>185</v>
      </c>
      <c r="C118" s="9">
        <v>10500</v>
      </c>
      <c r="D118" s="9">
        <f t="shared" si="6"/>
        <v>5250</v>
      </c>
      <c r="E118" s="23">
        <f t="shared" si="7"/>
        <v>31500</v>
      </c>
      <c r="F118" s="27"/>
    </row>
    <row r="119" spans="1:6" x14ac:dyDescent="0.25">
      <c r="A119" s="15">
        <f>'Perfect Amounts'!D208-'Perfect Amounts'!E208-F119</f>
        <v>3</v>
      </c>
      <c r="B119" s="15" t="s">
        <v>270</v>
      </c>
      <c r="C119" s="9">
        <v>12300</v>
      </c>
      <c r="D119" s="9">
        <f t="shared" si="6"/>
        <v>6150</v>
      </c>
      <c r="E119" s="23">
        <f t="shared" si="7"/>
        <v>36900</v>
      </c>
      <c r="F119" s="27"/>
    </row>
    <row r="120" spans="1:6" x14ac:dyDescent="0.25">
      <c r="A120" s="15">
        <f>'Perfect Amounts'!D209-'Perfect Amounts'!E209-F120</f>
        <v>2</v>
      </c>
      <c r="B120" s="15" t="s">
        <v>261</v>
      </c>
      <c r="C120" s="9">
        <v>14000</v>
      </c>
      <c r="D120" s="9">
        <f t="shared" si="6"/>
        <v>7000</v>
      </c>
      <c r="E120" s="23">
        <f t="shared" si="7"/>
        <v>28000</v>
      </c>
      <c r="F120" s="27"/>
    </row>
    <row r="121" spans="1:6" x14ac:dyDescent="0.25">
      <c r="A121" s="96"/>
      <c r="B121" s="97"/>
      <c r="C121" s="97"/>
      <c r="D121" s="97"/>
      <c r="E121" s="97"/>
      <c r="F121" s="98"/>
    </row>
    <row r="122" spans="1:6" x14ac:dyDescent="0.25">
      <c r="A122" s="15" t="s">
        <v>259</v>
      </c>
      <c r="B122" s="93">
        <f>SUM(E94:E120)</f>
        <v>1081440</v>
      </c>
      <c r="C122" s="94"/>
      <c r="D122" s="94"/>
      <c r="E122" s="94"/>
      <c r="F122" s="95"/>
    </row>
    <row r="123" spans="1:6" x14ac:dyDescent="0.25">
      <c r="A123" s="99" t="s">
        <v>336</v>
      </c>
      <c r="B123" s="100"/>
      <c r="C123" s="100"/>
      <c r="D123" s="100"/>
      <c r="E123" s="100"/>
      <c r="F123" s="101"/>
    </row>
    <row r="124" spans="1:6" ht="13.5" customHeight="1" x14ac:dyDescent="0.25">
      <c r="A124" s="102"/>
      <c r="B124" s="103"/>
      <c r="C124" s="103"/>
      <c r="D124" s="103"/>
      <c r="E124" s="103"/>
      <c r="F124" s="104"/>
    </row>
    <row r="125" spans="1:6" x14ac:dyDescent="0.25">
      <c r="A125" s="9" t="s">
        <v>257</v>
      </c>
      <c r="B125" s="9" t="s">
        <v>0</v>
      </c>
      <c r="C125" s="9" t="s">
        <v>4</v>
      </c>
      <c r="D125" s="9" t="s">
        <v>247</v>
      </c>
      <c r="E125" s="9" t="s">
        <v>5</v>
      </c>
      <c r="F125" s="21" t="s">
        <v>290</v>
      </c>
    </row>
    <row r="126" spans="1:6" x14ac:dyDescent="0.25">
      <c r="A126" s="15">
        <f>'Perfect Amounts'!D44-'Perfect Amounts'!E44-F126</f>
        <v>2</v>
      </c>
      <c r="B126" s="15" t="s">
        <v>32</v>
      </c>
      <c r="C126" s="9">
        <v>4000</v>
      </c>
      <c r="D126" s="9">
        <f>C126/2</f>
        <v>2000</v>
      </c>
      <c r="E126" s="23">
        <f>IF(A126&gt;0,A126*C126,D126*A126)</f>
        <v>8000</v>
      </c>
      <c r="F126" s="27"/>
    </row>
    <row r="127" spans="1:6" x14ac:dyDescent="0.25">
      <c r="A127" s="15">
        <f>'Perfect Amounts'!D76-'Perfect Amounts'!E76-F127</f>
        <v>3</v>
      </c>
      <c r="B127" s="15" t="s">
        <v>87</v>
      </c>
      <c r="C127" s="9">
        <v>1350</v>
      </c>
      <c r="D127" s="9">
        <f t="shared" ref="D127:D132" si="8">C127/2</f>
        <v>675</v>
      </c>
      <c r="E127" s="23">
        <f t="shared" ref="E127:E132" si="9">IF(A127&gt;0,A127*C127,D127*A127)</f>
        <v>4050</v>
      </c>
      <c r="F127" s="27"/>
    </row>
    <row r="128" spans="1:6" x14ac:dyDescent="0.25">
      <c r="A128" s="15">
        <f>'Perfect Amounts'!D98-'Perfect Amounts'!E98-F128</f>
        <v>2</v>
      </c>
      <c r="B128" s="15" t="s">
        <v>23</v>
      </c>
      <c r="C128" s="9">
        <v>3200</v>
      </c>
      <c r="D128" s="9">
        <f t="shared" si="8"/>
        <v>1600</v>
      </c>
      <c r="E128" s="23">
        <f t="shared" si="9"/>
        <v>6400</v>
      </c>
      <c r="F128" s="27"/>
    </row>
    <row r="129" spans="1:7" x14ac:dyDescent="0.25">
      <c r="A129" s="15">
        <f>'Perfect Amounts'!D104-'Perfect Amounts'!E104+'Perfect Amounts'!D192-'Perfect Amounts'!E192-'Future Treasures'!C123-F129</f>
        <v>4</v>
      </c>
      <c r="B129" s="15" t="s">
        <v>67</v>
      </c>
      <c r="C129" s="9">
        <v>4700</v>
      </c>
      <c r="D129" s="9">
        <f t="shared" si="8"/>
        <v>2350</v>
      </c>
      <c r="E129" s="23">
        <f t="shared" si="9"/>
        <v>18800</v>
      </c>
      <c r="F129" s="27"/>
    </row>
    <row r="130" spans="1:7" x14ac:dyDescent="0.25">
      <c r="A130" s="15">
        <f>'Perfect Amounts'!D115-'Perfect Amounts'!E115-F130</f>
        <v>7</v>
      </c>
      <c r="B130" s="15" t="s">
        <v>127</v>
      </c>
      <c r="C130" s="9">
        <v>1200</v>
      </c>
      <c r="D130" s="9">
        <f t="shared" si="8"/>
        <v>600</v>
      </c>
      <c r="E130" s="23">
        <f t="shared" si="9"/>
        <v>8400</v>
      </c>
      <c r="F130" s="27"/>
    </row>
    <row r="131" spans="1:7" x14ac:dyDescent="0.25">
      <c r="A131" s="15">
        <f>'Perfect Amounts'!D144-'Perfect Amounts'!E144-F131</f>
        <v>7</v>
      </c>
      <c r="B131" s="15" t="s">
        <v>107</v>
      </c>
      <c r="C131" s="9">
        <v>1500</v>
      </c>
      <c r="D131" s="9">
        <f t="shared" si="8"/>
        <v>750</v>
      </c>
      <c r="E131" s="23">
        <f t="shared" si="9"/>
        <v>10500</v>
      </c>
      <c r="F131" s="27"/>
    </row>
    <row r="132" spans="1:7" x14ac:dyDescent="0.25">
      <c r="A132" s="15">
        <f>'Perfect Amounts'!D145-'Perfect Amounts'!E145-F132</f>
        <v>7</v>
      </c>
      <c r="B132" s="15" t="s">
        <v>96</v>
      </c>
      <c r="C132" s="9">
        <v>1800</v>
      </c>
      <c r="D132" s="9">
        <f t="shared" si="8"/>
        <v>900</v>
      </c>
      <c r="E132" s="23">
        <f t="shared" si="9"/>
        <v>12600</v>
      </c>
      <c r="F132" s="27"/>
    </row>
    <row r="133" spans="1:7" x14ac:dyDescent="0.25">
      <c r="A133" s="96"/>
      <c r="B133" s="97"/>
      <c r="C133" s="97"/>
      <c r="D133" s="97"/>
      <c r="E133" s="97"/>
      <c r="F133" s="98"/>
    </row>
    <row r="134" spans="1:7" x14ac:dyDescent="0.25">
      <c r="A134" s="15" t="s">
        <v>259</v>
      </c>
      <c r="B134" s="93">
        <f>SUM(E126:E132)</f>
        <v>68750</v>
      </c>
      <c r="C134" s="94"/>
      <c r="D134" s="94"/>
      <c r="E134" s="94"/>
      <c r="F134" s="95"/>
    </row>
    <row r="135" spans="1:7" ht="15.75" customHeight="1" x14ac:dyDescent="0.25">
      <c r="A135" s="99" t="s">
        <v>336</v>
      </c>
      <c r="B135" s="100"/>
      <c r="C135" s="100"/>
      <c r="D135" s="100"/>
      <c r="E135" s="100"/>
      <c r="F135" s="101"/>
    </row>
    <row r="136" spans="1:7" ht="12.75" customHeight="1" x14ac:dyDescent="0.25">
      <c r="A136" s="102"/>
      <c r="B136" s="103"/>
      <c r="C136" s="103"/>
      <c r="D136" s="103"/>
      <c r="E136" s="103"/>
      <c r="F136" s="104"/>
    </row>
    <row r="137" spans="1:7" x14ac:dyDescent="0.25">
      <c r="A137" s="9" t="s">
        <v>271</v>
      </c>
      <c r="B137" s="9" t="s">
        <v>0</v>
      </c>
      <c r="C137" s="9" t="s">
        <v>4</v>
      </c>
      <c r="D137" s="9" t="s">
        <v>247</v>
      </c>
      <c r="E137" s="9" t="s">
        <v>5</v>
      </c>
      <c r="F137" s="21" t="s">
        <v>290</v>
      </c>
    </row>
    <row r="138" spans="1:7" x14ac:dyDescent="0.25">
      <c r="A138" s="15">
        <f>'Perfect Amounts'!D31-'Perfect Amounts'!E31-F138</f>
        <v>2</v>
      </c>
      <c r="B138" s="15" t="s">
        <v>7</v>
      </c>
      <c r="C138" s="9">
        <v>700</v>
      </c>
      <c r="D138" s="9">
        <v>850</v>
      </c>
      <c r="E138" s="23">
        <f>IF(A138&gt;0,A138*C138,D138*A138)</f>
        <v>1400</v>
      </c>
      <c r="F138" s="27"/>
      <c r="G138" s="64" t="s">
        <v>274</v>
      </c>
    </row>
    <row r="139" spans="1:7" x14ac:dyDescent="0.25">
      <c r="A139" s="15">
        <f>'Perfect Amounts'!D32-'Perfect Amounts'!E32-F139</f>
        <v>2</v>
      </c>
      <c r="B139" s="15" t="s">
        <v>9</v>
      </c>
      <c r="C139" s="9">
        <v>1000</v>
      </c>
      <c r="D139" s="9">
        <v>1400</v>
      </c>
      <c r="E139" s="23">
        <f t="shared" ref="E139:E161" si="10">IF(A139&gt;0,A139*C139,D139*A139)</f>
        <v>2000</v>
      </c>
      <c r="F139" s="27"/>
    </row>
    <row r="140" spans="1:7" x14ac:dyDescent="0.25">
      <c r="A140" s="15">
        <f>'Perfect Amounts'!D33-'Perfect Amounts'!E33-F140</f>
        <v>2</v>
      </c>
      <c r="B140" s="15" t="s">
        <v>10</v>
      </c>
      <c r="C140" s="9">
        <v>2000</v>
      </c>
      <c r="D140" s="9">
        <v>1900</v>
      </c>
      <c r="E140" s="23">
        <f t="shared" si="10"/>
        <v>4000</v>
      </c>
      <c r="F140" s="27"/>
    </row>
    <row r="141" spans="1:7" x14ac:dyDescent="0.25">
      <c r="A141" s="15">
        <f>'Perfect Amounts'!D34-'Perfect Amounts'!E34-F141</f>
        <v>2</v>
      </c>
      <c r="B141" s="15" t="s">
        <v>12</v>
      </c>
      <c r="C141" s="9">
        <v>9000</v>
      </c>
      <c r="D141" s="9">
        <v>3500</v>
      </c>
      <c r="E141" s="23">
        <f t="shared" si="10"/>
        <v>18000</v>
      </c>
      <c r="F141" s="27"/>
    </row>
    <row r="142" spans="1:7" x14ac:dyDescent="0.25">
      <c r="A142" s="15">
        <f>'Perfect Amounts'!D189-'Perfect Amounts'!E189+'Perfect Amounts'!D192-'Perfect Amounts'!E192-'Future Treasures'!C117-F142</f>
        <v>7</v>
      </c>
      <c r="B142" s="15" t="s">
        <v>167</v>
      </c>
      <c r="C142" s="9">
        <v>1000</v>
      </c>
      <c r="D142" s="9">
        <v>2000</v>
      </c>
      <c r="E142" s="23">
        <f t="shared" si="10"/>
        <v>7000</v>
      </c>
      <c r="F142" s="27"/>
    </row>
    <row r="143" spans="1:7" x14ac:dyDescent="0.25">
      <c r="A143" s="15">
        <f>'Perfect Amounts'!D190-'Perfect Amounts'!E190-'Future Treasures'!C119-F143</f>
        <v>5</v>
      </c>
      <c r="B143" s="15" t="s">
        <v>171</v>
      </c>
      <c r="C143" s="9">
        <v>2000</v>
      </c>
      <c r="D143" s="9">
        <v>2900</v>
      </c>
      <c r="E143" s="23">
        <f t="shared" si="10"/>
        <v>10000</v>
      </c>
      <c r="F143" s="27"/>
    </row>
    <row r="144" spans="1:7" x14ac:dyDescent="0.25">
      <c r="A144" s="15">
        <f>'Perfect Amounts'!D191-'Perfect Amounts'!E191+'Perfect Amounts'!D195-'Perfect Amounts'!E195-'Future Treasures'!C121-F144</f>
        <v>10</v>
      </c>
      <c r="B144" s="15" t="s">
        <v>157</v>
      </c>
      <c r="C144" s="9">
        <v>3000</v>
      </c>
      <c r="D144" s="9">
        <v>4000</v>
      </c>
      <c r="E144" s="23">
        <f t="shared" si="10"/>
        <v>30000</v>
      </c>
      <c r="F144" s="27"/>
    </row>
    <row r="145" spans="1:6" x14ac:dyDescent="0.25">
      <c r="A145" s="15">
        <f>'Perfect Amounts'!D122-'Perfect Amounts'!E122+'Perfect Amounts'!D213-'Perfect Amounts'!E213+'Perfect Amounts'!D214-'Perfect Amounts'!E214+'Perfect Amounts'!D215-'Perfect Amounts'!E215+'Perfect Amounts'!D217-'Perfect Amounts'!E217+'Perfect Amounts'!D218-'Perfect Amounts'!E218-'Future Treasures'!C144-'Future Treasures'!C146-F145</f>
        <v>52</v>
      </c>
      <c r="B145" s="15" t="s">
        <v>199</v>
      </c>
      <c r="C145" s="9">
        <v>300</v>
      </c>
      <c r="D145" s="9">
        <v>750</v>
      </c>
      <c r="E145" s="23">
        <f t="shared" si="10"/>
        <v>15600</v>
      </c>
      <c r="F145" s="27"/>
    </row>
    <row r="146" spans="1:6" x14ac:dyDescent="0.25">
      <c r="A146" s="15">
        <f>'Perfect Amounts'!D233-'Perfect Amounts'!E233-F146</f>
        <v>9</v>
      </c>
      <c r="B146" s="15" t="s">
        <v>229</v>
      </c>
      <c r="C146" s="9">
        <v>400</v>
      </c>
      <c r="D146" s="9">
        <v>900</v>
      </c>
      <c r="E146" s="23">
        <f t="shared" si="10"/>
        <v>3600</v>
      </c>
      <c r="F146" s="27"/>
    </row>
    <row r="147" spans="1:6" x14ac:dyDescent="0.25">
      <c r="A147" s="15">
        <f>'Perfect Amounts'!D223-'Perfect Amounts'!E223+'Perfect Amounts'!D221-'Perfect Amounts'!E221+'Perfect Amounts'!D168-'Perfect Amounts'!E168-F127</f>
        <v>21</v>
      </c>
      <c r="B147" s="15" t="s">
        <v>206</v>
      </c>
      <c r="C147" s="9">
        <v>500</v>
      </c>
      <c r="D147" s="9">
        <v>800</v>
      </c>
      <c r="E147" s="23">
        <f t="shared" si="10"/>
        <v>10500</v>
      </c>
      <c r="F147" s="27"/>
    </row>
    <row r="148" spans="1:6" x14ac:dyDescent="0.25">
      <c r="A148" s="15">
        <f>'Perfect Amounts'!D122-'Perfect Amounts'!E122+'Perfect Amounts'!D215-'Perfect Amounts'!E215+'Perfect Amounts'!D214-'Perfect Amounts'!E214+'Perfect Amounts'!D217-'Perfect Amounts'!E217+'Perfect Amounts'!D218-'Perfect Amounts'!E218-'Future Treasures'!C144-'Future Treasures'!C146-F148</f>
        <v>43</v>
      </c>
      <c r="B148" s="15" t="s">
        <v>205</v>
      </c>
      <c r="C148" s="9">
        <v>900</v>
      </c>
      <c r="D148" s="9">
        <v>2000</v>
      </c>
      <c r="E148" s="23">
        <f t="shared" si="10"/>
        <v>38700</v>
      </c>
      <c r="F148" s="27"/>
    </row>
    <row r="149" spans="1:6" x14ac:dyDescent="0.25">
      <c r="A149" s="15">
        <f>'Perfect Amounts'!D238-'Perfect Amounts'!E238+'Perfect Amounts'!D78-'Perfect Amounts'!E78-'Future Treasures'!C175-F149</f>
        <v>7</v>
      </c>
      <c r="B149" s="15" t="s">
        <v>196</v>
      </c>
      <c r="C149" s="9">
        <v>1000</v>
      </c>
      <c r="D149" s="9">
        <v>1500</v>
      </c>
      <c r="E149" s="23">
        <f t="shared" si="10"/>
        <v>7000</v>
      </c>
      <c r="F149" s="27"/>
    </row>
    <row r="150" spans="1:6" x14ac:dyDescent="0.25">
      <c r="A150" s="15">
        <f>'Perfect Amounts'!D227-'Perfect Amounts'!E227-F150</f>
        <v>9</v>
      </c>
      <c r="B150" s="15" t="s">
        <v>197</v>
      </c>
      <c r="C150" s="9">
        <v>1200</v>
      </c>
      <c r="D150" s="9">
        <v>2000</v>
      </c>
      <c r="E150" s="23">
        <f t="shared" si="10"/>
        <v>10800</v>
      </c>
      <c r="F150" s="27"/>
    </row>
    <row r="151" spans="1:6" x14ac:dyDescent="0.25">
      <c r="A151" s="15">
        <f>'Perfect Amounts'!D234-'Perfect Amounts'!E234+'Perfect Amounts'!D226-'Perfect Amounts'!E226+'Perfect Amounts'!D220-'Perfect Amounts'!E220-F151</f>
        <v>23</v>
      </c>
      <c r="B151" s="15" t="s">
        <v>207</v>
      </c>
      <c r="C151" s="9">
        <v>1300</v>
      </c>
      <c r="D151" s="9">
        <v>2000</v>
      </c>
      <c r="E151" s="23">
        <f t="shared" si="10"/>
        <v>29900</v>
      </c>
      <c r="F151" s="27"/>
    </row>
    <row r="152" spans="1:6" x14ac:dyDescent="0.25">
      <c r="A152" s="15">
        <f>'Perfect Amounts'!D217-'Perfect Amounts'!E217+'Perfect Amounts'!D214-'Perfect Amounts'!E214+'Perfect Amounts'!D218-'Perfect Amounts'!E218+'Perfect Amounts'!D122-'Perfect Amounts'!E122-'Future Treasures'!C144-'Future Treasures'!C146-F152</f>
        <v>34</v>
      </c>
      <c r="B152" s="15" t="s">
        <v>209</v>
      </c>
      <c r="C152" s="9">
        <v>1500</v>
      </c>
      <c r="D152" s="9">
        <v>3750</v>
      </c>
      <c r="E152" s="23">
        <f t="shared" si="10"/>
        <v>51000</v>
      </c>
      <c r="F152" s="27"/>
    </row>
    <row r="153" spans="1:6" x14ac:dyDescent="0.25">
      <c r="A153" s="15">
        <f>'Perfect Amounts'!D239-'Perfect Amounts'!E239+'Perfect Amounts'!D236-'Perfect Amounts'!E236-'Future Treasures'!C177-F153</f>
        <v>8</v>
      </c>
      <c r="B153" s="15" t="s">
        <v>193</v>
      </c>
      <c r="C153" s="9">
        <v>1800</v>
      </c>
      <c r="D153" s="9">
        <v>3500</v>
      </c>
      <c r="E153" s="23">
        <f t="shared" si="10"/>
        <v>14400</v>
      </c>
      <c r="F153" s="27"/>
    </row>
    <row r="154" spans="1:6" x14ac:dyDescent="0.25">
      <c r="A154" s="15">
        <f>'Perfect Amounts'!D221-'Perfect Amounts'!E221+'Perfect Amounts'!D168-'Perfect Amounts'!E168-F154</f>
        <v>12</v>
      </c>
      <c r="B154" s="15" t="s">
        <v>215</v>
      </c>
      <c r="C154" s="9">
        <v>2000</v>
      </c>
      <c r="D154" s="9">
        <v>3500</v>
      </c>
      <c r="E154" s="23">
        <f t="shared" si="10"/>
        <v>24000</v>
      </c>
      <c r="F154" s="27"/>
    </row>
    <row r="155" spans="1:6" x14ac:dyDescent="0.25">
      <c r="A155" s="15">
        <f>'Perfect Amounts'!D156-'Perfect Amounts'!E156+'Perfect Amounts'!D224-'Perfect Amounts'!E224+'Perfect Amounts'!D225-'Perfect Amounts'!E225+'Perfect Amounts'!D226-'Perfect Amounts'!E226-'Future Treasures'!C154-'Future Treasures'!C159-F155</f>
        <v>34</v>
      </c>
      <c r="B155" s="15" t="s">
        <v>208</v>
      </c>
      <c r="C155" s="9">
        <v>3000</v>
      </c>
      <c r="D155" s="9">
        <v>3750</v>
      </c>
      <c r="E155" s="23">
        <f t="shared" si="10"/>
        <v>102000</v>
      </c>
      <c r="F155" s="27"/>
    </row>
    <row r="156" spans="1:6" x14ac:dyDescent="0.25">
      <c r="A156" s="15">
        <f>'Perfect Amounts'!D235-'Perfect Amounts'!E235+'Perfect Amounts'!D236-'Perfect Amounts'!E236-F156</f>
        <v>13</v>
      </c>
      <c r="B156" s="15" t="s">
        <v>203</v>
      </c>
      <c r="C156" s="9">
        <v>3200</v>
      </c>
      <c r="D156" s="9">
        <v>3000</v>
      </c>
      <c r="E156" s="23">
        <f t="shared" si="10"/>
        <v>41600</v>
      </c>
      <c r="F156" s="27"/>
    </row>
    <row r="157" spans="1:6" x14ac:dyDescent="0.25">
      <c r="A157" s="15">
        <f>'Perfect Amounts'!D240-'Perfect Amounts'!E240-F157</f>
        <v>4</v>
      </c>
      <c r="B157" s="15" t="s">
        <v>202</v>
      </c>
      <c r="C157" s="9">
        <v>3500</v>
      </c>
      <c r="D157" s="9">
        <v>5000</v>
      </c>
      <c r="E157" s="23">
        <f t="shared" si="10"/>
        <v>14000</v>
      </c>
      <c r="F157" s="27"/>
    </row>
    <row r="158" spans="1:6" x14ac:dyDescent="0.25">
      <c r="A158" s="15">
        <f>'Perfect Amounts'!D226-'Perfect Amounts'!E226-'Future Treasures'!C159-'Future Treasures'!C159-F158</f>
        <v>9</v>
      </c>
      <c r="B158" s="15" t="s">
        <v>221</v>
      </c>
      <c r="C158" s="9">
        <v>7000</v>
      </c>
      <c r="D158" s="9">
        <v>3500</v>
      </c>
      <c r="E158" s="23">
        <f t="shared" si="10"/>
        <v>63000</v>
      </c>
      <c r="F158" s="27"/>
    </row>
    <row r="159" spans="1:6" x14ac:dyDescent="0.25">
      <c r="A159" s="15">
        <f>'Perfect Amounts'!D226-'Perfect Amounts'!E226+'Perfect Amounts'!D220-'Perfect Amounts'!E220-'Future Treasures'!C150-'Future Treasures'!C150-F159</f>
        <v>14</v>
      </c>
      <c r="B159" s="15" t="s">
        <v>191</v>
      </c>
      <c r="C159" s="9">
        <v>4000</v>
      </c>
      <c r="D159" s="9">
        <v>1600</v>
      </c>
      <c r="E159" s="23">
        <f t="shared" si="10"/>
        <v>56000</v>
      </c>
      <c r="F159" s="27"/>
    </row>
    <row r="160" spans="1:6" x14ac:dyDescent="0.25">
      <c r="A160" s="15">
        <f>'Perfect Amounts'!D217-'Perfect Amounts'!E217+'Perfect Amounts'!D218-'Perfect Amounts'!E218+'Perfect Amounts'!D122-'Perfect Amounts'!E122-'Future Treasures'!C144-'Future Treasures'!C146-F160</f>
        <v>25</v>
      </c>
      <c r="B160" s="15" t="s">
        <v>204</v>
      </c>
      <c r="C160" s="9">
        <v>4000</v>
      </c>
      <c r="D160" s="9">
        <v>3000</v>
      </c>
      <c r="E160" s="23">
        <f t="shared" si="10"/>
        <v>100000</v>
      </c>
      <c r="F160" s="27"/>
    </row>
    <row r="161" spans="1:6" x14ac:dyDescent="0.25">
      <c r="A161" s="15">
        <f>'Perfect Amounts'!D222-'Perfect Amounts'!E222-'Future Treasures'!C152-'Future Treasures'!C152-F161</f>
        <v>9</v>
      </c>
      <c r="B161" s="15" t="s">
        <v>195</v>
      </c>
      <c r="C161" s="9">
        <v>4000</v>
      </c>
      <c r="D161" s="9">
        <v>5500</v>
      </c>
      <c r="E161" s="23">
        <f t="shared" si="10"/>
        <v>36000</v>
      </c>
      <c r="F161" s="27"/>
    </row>
    <row r="162" spans="1:6" x14ac:dyDescent="0.25">
      <c r="A162" s="96"/>
      <c r="B162" s="97"/>
      <c r="C162" s="97"/>
      <c r="D162" s="97"/>
      <c r="E162" s="97"/>
      <c r="F162" s="98"/>
    </row>
    <row r="163" spans="1:6" x14ac:dyDescent="0.25">
      <c r="A163" s="15" t="s">
        <v>259</v>
      </c>
      <c r="B163" s="93">
        <f>SUM(E138:E161)</f>
        <v>690500</v>
      </c>
      <c r="C163" s="94"/>
      <c r="D163" s="94"/>
      <c r="E163" s="94"/>
      <c r="F163" s="95"/>
    </row>
    <row r="164" spans="1:6" x14ac:dyDescent="0.25">
      <c r="A164" s="117" t="s">
        <v>428</v>
      </c>
      <c r="B164" s="118"/>
      <c r="C164" s="118"/>
      <c r="D164" s="118"/>
      <c r="E164" s="118"/>
      <c r="F164" s="119"/>
    </row>
    <row r="165" spans="1:6" x14ac:dyDescent="0.25">
      <c r="A165" s="120"/>
      <c r="B165" s="121"/>
      <c r="C165" s="121"/>
      <c r="D165" s="121"/>
      <c r="E165" s="121"/>
      <c r="F165" s="122"/>
    </row>
    <row r="166" spans="1:6" x14ac:dyDescent="0.25">
      <c r="A166" s="68" t="s">
        <v>257</v>
      </c>
      <c r="B166" s="68" t="s">
        <v>0</v>
      </c>
      <c r="C166" s="68" t="s">
        <v>4</v>
      </c>
      <c r="D166" s="68" t="s">
        <v>247</v>
      </c>
      <c r="E166" s="68" t="s">
        <v>5</v>
      </c>
      <c r="F166" s="68" t="s">
        <v>290</v>
      </c>
    </row>
    <row r="167" spans="1:6" x14ac:dyDescent="0.25">
      <c r="A167" s="70">
        <f>'Perfect Amounts'!D15-'Perfect Amounts'!E15+'Perfect Amounts'!D16-'Perfect Amounts'!E16+'Perfect Amounts'!D217-'Perfect Amounts'!E217+'Perfect Amounts'!D218-'Perfect Amounts'!E218+'Perfect Amounts'!D122-'Perfect Amounts'!E122-'Future Treasures'!C15-'Future Treasures'!C144-'Future Treasures'!C146-F167</f>
        <v>223</v>
      </c>
      <c r="B167" s="25" t="s">
        <v>242</v>
      </c>
      <c r="C167" s="68">
        <v>80</v>
      </c>
      <c r="D167" s="68">
        <v>30</v>
      </c>
      <c r="E167" s="71">
        <f>IF(A167&gt;0,A167*C167,A167*D167)</f>
        <v>17840</v>
      </c>
      <c r="F167" s="69"/>
    </row>
    <row r="168" spans="1:6" x14ac:dyDescent="0.25">
      <c r="A168" s="96"/>
      <c r="B168" s="97"/>
      <c r="C168" s="97"/>
      <c r="D168" s="97"/>
      <c r="E168" s="97"/>
      <c r="F168" s="98"/>
    </row>
    <row r="169" spans="1:6" x14ac:dyDescent="0.25">
      <c r="A169" s="68" t="s">
        <v>259</v>
      </c>
      <c r="B169" s="123">
        <f>SUM(E167)</f>
        <v>17840</v>
      </c>
      <c r="C169" s="124"/>
      <c r="D169" s="124"/>
      <c r="E169" s="124"/>
      <c r="F169" s="125"/>
    </row>
    <row r="170" spans="1:6" x14ac:dyDescent="0.25">
      <c r="A170" s="99" t="s">
        <v>269</v>
      </c>
      <c r="B170" s="100"/>
      <c r="C170" s="100"/>
      <c r="D170" s="100"/>
      <c r="E170" s="100"/>
      <c r="F170" s="101"/>
    </row>
    <row r="171" spans="1:6" ht="15" customHeight="1" x14ac:dyDescent="0.25">
      <c r="A171" s="102"/>
      <c r="B171" s="103"/>
      <c r="C171" s="103"/>
      <c r="D171" s="103"/>
      <c r="E171" s="103"/>
      <c r="F171" s="104"/>
    </row>
    <row r="172" spans="1:6" x14ac:dyDescent="0.25">
      <c r="A172" s="9" t="s">
        <v>271</v>
      </c>
      <c r="B172" s="9" t="s">
        <v>0</v>
      </c>
      <c r="C172" s="9" t="s">
        <v>4</v>
      </c>
      <c r="D172" s="9" t="s">
        <v>247</v>
      </c>
      <c r="E172" s="9" t="s">
        <v>5</v>
      </c>
      <c r="F172" s="21" t="s">
        <v>290</v>
      </c>
    </row>
    <row r="173" spans="1:6" x14ac:dyDescent="0.25">
      <c r="A173" s="15">
        <f>'Perfect Amounts'!D119-'Perfect Amounts'!E119+'Perfect Amounts'!D35-'Perfect Amounts'!E35-F173</f>
        <v>5</v>
      </c>
      <c r="B173" s="15" t="s">
        <v>13</v>
      </c>
      <c r="C173" s="9">
        <v>12000</v>
      </c>
      <c r="D173" s="9">
        <v>4750</v>
      </c>
      <c r="E173" s="23">
        <f>IF(A173&gt;0,A173*C173,D173*A173)</f>
        <v>60000</v>
      </c>
      <c r="F173" s="27"/>
    </row>
    <row r="174" spans="1:6" x14ac:dyDescent="0.25">
      <c r="A174" s="15">
        <f>'Perfect Amounts'!D192-'Perfect Amounts'!E192-'Future Treasures'!C123-'Future Treasures'!C123-F174</f>
        <v>2</v>
      </c>
      <c r="B174" s="15" t="s">
        <v>168</v>
      </c>
      <c r="C174" s="9">
        <v>6000</v>
      </c>
      <c r="D174" s="9">
        <v>8000</v>
      </c>
      <c r="E174" s="23">
        <f t="shared" ref="E174:E179" si="11">IF(A174&gt;0,A174*C174,D174*A174)</f>
        <v>12000</v>
      </c>
      <c r="F174" s="27"/>
    </row>
    <row r="175" spans="1:6" x14ac:dyDescent="0.25">
      <c r="A175" s="15">
        <f>'Perfect Amounts'!D193-'Perfect Amounts'!E193+'Perfect Amounts'!D196-'Perfect Amounts'!E196-'Future Treasures'!C125-'Future Treasures'!C131-F175</f>
        <v>8</v>
      </c>
      <c r="B175" s="15" t="s">
        <v>172</v>
      </c>
      <c r="C175" s="9">
        <v>8000</v>
      </c>
      <c r="D175" s="9">
        <v>14500</v>
      </c>
      <c r="E175" s="23">
        <f t="shared" si="11"/>
        <v>64000</v>
      </c>
      <c r="F175" s="27"/>
    </row>
    <row r="176" spans="1:6" x14ac:dyDescent="0.25">
      <c r="A176" s="15">
        <f>'Perfect Amounts'!D194-'Perfect Amounts'!E194+'Perfect Amounts'!D196-'Perfect Amounts'!E196-'Future Treasures'!C127-'Future Treasures'!C131-F176</f>
        <v>8</v>
      </c>
      <c r="B176" s="15" t="s">
        <v>166</v>
      </c>
      <c r="C176" s="9">
        <v>8000</v>
      </c>
      <c r="D176" s="9">
        <v>14500</v>
      </c>
      <c r="E176" s="23">
        <f t="shared" si="11"/>
        <v>64000</v>
      </c>
      <c r="F176" s="27"/>
    </row>
    <row r="177" spans="1:6" x14ac:dyDescent="0.25">
      <c r="A177" s="15">
        <f>'Perfect Amounts'!D218-'Perfect Amounts'!E218+'Perfect Amounts'!D122-'Perfect Amounts'!E122-'Future Treasures'!C146-F177</f>
        <v>16</v>
      </c>
      <c r="B177" s="15" t="s">
        <v>194</v>
      </c>
      <c r="C177" s="9">
        <v>6500</v>
      </c>
      <c r="D177" s="9">
        <v>10500</v>
      </c>
      <c r="E177" s="23">
        <f t="shared" si="11"/>
        <v>104000</v>
      </c>
      <c r="F177" s="27"/>
    </row>
    <row r="178" spans="1:6" x14ac:dyDescent="0.25">
      <c r="A178" s="15">
        <f>'Perfect Amounts'!D236-'Perfect Amounts'!E236-F178</f>
        <v>4</v>
      </c>
      <c r="B178" s="15" t="s">
        <v>190</v>
      </c>
      <c r="C178" s="9">
        <v>8000</v>
      </c>
      <c r="D178" s="9">
        <v>10000</v>
      </c>
      <c r="E178" s="23">
        <f t="shared" si="11"/>
        <v>32000</v>
      </c>
      <c r="F178" s="27"/>
    </row>
    <row r="179" spans="1:6" x14ac:dyDescent="0.25">
      <c r="A179" s="15">
        <f>'Perfect Amounts'!D119-'Perfect Amounts'!E119-F179</f>
        <v>3</v>
      </c>
      <c r="B179" s="15" t="s">
        <v>137</v>
      </c>
      <c r="C179" s="9">
        <v>50000</v>
      </c>
      <c r="D179" s="9">
        <v>25000</v>
      </c>
      <c r="E179" s="23">
        <f t="shared" si="11"/>
        <v>150000</v>
      </c>
      <c r="F179" s="27"/>
    </row>
    <row r="180" spans="1:6" x14ac:dyDescent="0.25">
      <c r="A180" s="96"/>
      <c r="B180" s="97"/>
      <c r="C180" s="97"/>
      <c r="D180" s="97"/>
      <c r="E180" s="97"/>
      <c r="F180" s="98"/>
    </row>
    <row r="181" spans="1:6" x14ac:dyDescent="0.25">
      <c r="A181" s="15" t="s">
        <v>259</v>
      </c>
      <c r="B181" s="93">
        <f>SUM(E173:E179)</f>
        <v>486000</v>
      </c>
      <c r="C181" s="94"/>
      <c r="D181" s="94"/>
      <c r="E181" s="94"/>
      <c r="F181" s="95"/>
    </row>
    <row r="182" spans="1:6" x14ac:dyDescent="0.25">
      <c r="A182" s="99" t="s">
        <v>272</v>
      </c>
      <c r="B182" s="100"/>
      <c r="C182" s="100"/>
      <c r="D182" s="100"/>
      <c r="E182" s="100"/>
      <c r="F182" s="101"/>
    </row>
    <row r="183" spans="1:6" ht="14.25" customHeight="1" x14ac:dyDescent="0.25">
      <c r="A183" s="102"/>
      <c r="B183" s="103"/>
      <c r="C183" s="103"/>
      <c r="D183" s="103"/>
      <c r="E183" s="103"/>
      <c r="F183" s="104"/>
    </row>
    <row r="184" spans="1:6" x14ac:dyDescent="0.25">
      <c r="A184" s="9" t="s">
        <v>257</v>
      </c>
      <c r="B184" s="9" t="s">
        <v>0</v>
      </c>
      <c r="C184" s="9" t="s">
        <v>4</v>
      </c>
      <c r="D184" s="9" t="s">
        <v>247</v>
      </c>
      <c r="E184" s="9" t="s">
        <v>5</v>
      </c>
      <c r="F184" s="21" t="s">
        <v>290</v>
      </c>
    </row>
    <row r="185" spans="1:6" x14ac:dyDescent="0.25">
      <c r="A185" s="15">
        <f>'Perfect Amounts'!D85-'Perfect Amounts'!E85-F185</f>
        <v>2</v>
      </c>
      <c r="B185" s="15" t="s">
        <v>77</v>
      </c>
      <c r="C185" s="9">
        <v>3990</v>
      </c>
      <c r="D185" s="9">
        <f t="shared" ref="D185:D190" si="12">C185/2</f>
        <v>1995</v>
      </c>
      <c r="E185" s="23">
        <f t="shared" ref="E185:E190" si="13">IF(A185&gt;0,C185*A185,A185*D185)</f>
        <v>7980</v>
      </c>
      <c r="F185" s="27"/>
    </row>
    <row r="186" spans="1:6" x14ac:dyDescent="0.25">
      <c r="A186" s="15">
        <f>'Perfect Amounts'!D91-'Perfect Amounts'!E91-F186</f>
        <v>2</v>
      </c>
      <c r="B186" s="15" t="s">
        <v>83</v>
      </c>
      <c r="C186" s="9">
        <v>7000</v>
      </c>
      <c r="D186" s="9">
        <f t="shared" si="12"/>
        <v>3500</v>
      </c>
      <c r="E186" s="23">
        <f t="shared" si="13"/>
        <v>14000</v>
      </c>
      <c r="F186" s="27"/>
    </row>
    <row r="187" spans="1:6" x14ac:dyDescent="0.25">
      <c r="A187" s="15">
        <f>'Perfect Amounts'!D100-'Perfect Amounts'!E100-'Future Treasures'!C66-F187</f>
        <v>2</v>
      </c>
      <c r="B187" s="15" t="s">
        <v>25</v>
      </c>
      <c r="C187" s="9">
        <v>6000</v>
      </c>
      <c r="D187" s="9">
        <f t="shared" si="12"/>
        <v>3000</v>
      </c>
      <c r="E187" s="23">
        <f t="shared" si="13"/>
        <v>12000</v>
      </c>
      <c r="F187" s="27"/>
    </row>
    <row r="188" spans="1:6" x14ac:dyDescent="0.25">
      <c r="A188" s="15">
        <f>+'Perfect Amounts'!D153-'Perfect Amounts'!E153-F188</f>
        <v>2</v>
      </c>
      <c r="B188" s="15" t="s">
        <v>112</v>
      </c>
      <c r="C188" s="9">
        <v>7100</v>
      </c>
      <c r="D188" s="9">
        <f t="shared" si="12"/>
        <v>3550</v>
      </c>
      <c r="E188" s="23">
        <f t="shared" si="13"/>
        <v>14200</v>
      </c>
      <c r="F188" s="27"/>
    </row>
    <row r="189" spans="1:6" x14ac:dyDescent="0.25">
      <c r="A189" s="15">
        <f>'Perfect Amounts'!D154-'Perfect Amounts'!E154-'Future Treasures'!C100-F189</f>
        <v>5</v>
      </c>
      <c r="B189" s="15" t="s">
        <v>103</v>
      </c>
      <c r="C189" s="9">
        <v>8300</v>
      </c>
      <c r="D189" s="9">
        <f t="shared" si="12"/>
        <v>4150</v>
      </c>
      <c r="E189" s="23">
        <f t="shared" si="13"/>
        <v>41500</v>
      </c>
      <c r="F189" s="27"/>
    </row>
    <row r="190" spans="1:6" x14ac:dyDescent="0.25">
      <c r="A190" s="15">
        <f>'Perfect Amounts'!D186-'Perfect Amounts'!E186-F190</f>
        <v>7</v>
      </c>
      <c r="B190" s="15" t="s">
        <v>151</v>
      </c>
      <c r="C190" s="9">
        <v>16300</v>
      </c>
      <c r="D190" s="9">
        <f t="shared" si="12"/>
        <v>8150</v>
      </c>
      <c r="E190" s="23">
        <f t="shared" si="13"/>
        <v>114100</v>
      </c>
      <c r="F190" s="27"/>
    </row>
    <row r="191" spans="1:6" x14ac:dyDescent="0.25">
      <c r="A191" s="96"/>
      <c r="B191" s="97"/>
      <c r="C191" s="97"/>
      <c r="D191" s="97"/>
      <c r="E191" s="97"/>
      <c r="F191" s="98"/>
    </row>
    <row r="192" spans="1:6" x14ac:dyDescent="0.25">
      <c r="A192" s="15" t="s">
        <v>259</v>
      </c>
      <c r="B192" s="93">
        <f>SUM(E185:E190)</f>
        <v>203780</v>
      </c>
      <c r="C192" s="94"/>
      <c r="D192" s="94"/>
      <c r="E192" s="94"/>
      <c r="F192" s="95"/>
    </row>
    <row r="193" spans="1:7" x14ac:dyDescent="0.25">
      <c r="A193" s="99" t="s">
        <v>272</v>
      </c>
      <c r="B193" s="100"/>
      <c r="C193" s="100"/>
      <c r="D193" s="100"/>
      <c r="E193" s="100"/>
      <c r="F193" s="101"/>
    </row>
    <row r="194" spans="1:7" ht="16.5" customHeight="1" x14ac:dyDescent="0.25">
      <c r="A194" s="102"/>
      <c r="B194" s="103"/>
      <c r="C194" s="103"/>
      <c r="D194" s="103"/>
      <c r="E194" s="103"/>
      <c r="F194" s="104"/>
    </row>
    <row r="195" spans="1:7" x14ac:dyDescent="0.25">
      <c r="A195" s="9" t="s">
        <v>271</v>
      </c>
      <c r="B195" s="9" t="s">
        <v>0</v>
      </c>
      <c r="C195" s="9" t="s">
        <v>4</v>
      </c>
      <c r="D195" s="9" t="s">
        <v>247</v>
      </c>
      <c r="E195" s="9" t="s">
        <v>5</v>
      </c>
      <c r="F195" s="21" t="s">
        <v>290</v>
      </c>
      <c r="G195" s="64" t="s">
        <v>275</v>
      </c>
    </row>
    <row r="196" spans="1:7" x14ac:dyDescent="0.25">
      <c r="A196" s="15">
        <f>'Perfect Amounts'!D30-'Perfect Amounts'!E30-F196</f>
        <v>2</v>
      </c>
      <c r="B196" s="15" t="s">
        <v>6</v>
      </c>
      <c r="C196" s="9">
        <v>300</v>
      </c>
      <c r="D196" s="9">
        <v>650</v>
      </c>
      <c r="E196" s="23">
        <f>IF(A196&gt;0,A196*C196,A196*D196)</f>
        <v>600</v>
      </c>
      <c r="F196" s="27"/>
    </row>
    <row r="197" spans="1:7" x14ac:dyDescent="0.25">
      <c r="A197" s="15">
        <f>'Perfect Amounts'!D36-'Perfect Amounts'!E36-F197</f>
        <v>2</v>
      </c>
      <c r="B197" s="15" t="s">
        <v>14</v>
      </c>
      <c r="C197" s="9">
        <v>16000</v>
      </c>
      <c r="D197" s="9">
        <v>6500</v>
      </c>
      <c r="E197" s="23">
        <f t="shared" ref="E197:E208" si="14">IF(A197&gt;0,A197*C197,A197*D197)</f>
        <v>32000</v>
      </c>
      <c r="F197" s="27"/>
    </row>
    <row r="198" spans="1:7" x14ac:dyDescent="0.25">
      <c r="A198" s="15">
        <f>'Perfect Amounts'!D78-'Perfect Amounts'!E78-F198</f>
        <v>3</v>
      </c>
      <c r="B198" s="15" t="s">
        <v>89</v>
      </c>
      <c r="C198" s="9">
        <v>11000</v>
      </c>
      <c r="D198" s="9">
        <v>4000</v>
      </c>
      <c r="E198" s="23">
        <f t="shared" si="14"/>
        <v>33000</v>
      </c>
      <c r="F198" s="27"/>
    </row>
    <row r="199" spans="1:7" x14ac:dyDescent="0.25">
      <c r="A199" s="15">
        <f>'Perfect Amounts'!D122-'Perfect Amounts'!E122-F199</f>
        <v>7</v>
      </c>
      <c r="B199" s="15" t="s">
        <v>126</v>
      </c>
      <c r="C199" s="9">
        <v>24000</v>
      </c>
      <c r="D199" s="9">
        <v>4000</v>
      </c>
      <c r="E199" s="23">
        <f t="shared" si="14"/>
        <v>168000</v>
      </c>
      <c r="F199" s="27"/>
    </row>
    <row r="200" spans="1:7" x14ac:dyDescent="0.25">
      <c r="A200" s="15">
        <f>'Perfect Amounts'!D132-'Perfect Amounts'!E132-'Future Treasures'!C94-F200</f>
        <v>3</v>
      </c>
      <c r="B200" s="15" t="s">
        <v>139</v>
      </c>
      <c r="C200" s="9">
        <v>8000</v>
      </c>
      <c r="D200" s="9">
        <v>4400</v>
      </c>
      <c r="E200" s="23">
        <f t="shared" si="14"/>
        <v>24000</v>
      </c>
      <c r="F200" s="27"/>
    </row>
    <row r="201" spans="1:7" x14ac:dyDescent="0.25">
      <c r="A201" s="15">
        <f>'Perfect Amounts'!D155-'Perfect Amounts'!E155-F201</f>
        <v>7</v>
      </c>
      <c r="B201" s="15" t="s">
        <v>100</v>
      </c>
      <c r="C201" s="9">
        <v>15000</v>
      </c>
      <c r="D201" s="9">
        <v>6000</v>
      </c>
      <c r="E201" s="23">
        <f t="shared" si="14"/>
        <v>105000</v>
      </c>
      <c r="F201" s="27"/>
    </row>
    <row r="202" spans="1:7" x14ac:dyDescent="0.25">
      <c r="A202" s="15">
        <f>'Perfect Amounts'!D156-'Perfect Amounts'!E156-'Future Treasures'!C102-F202</f>
        <v>7</v>
      </c>
      <c r="B202" s="15" t="s">
        <v>94</v>
      </c>
      <c r="C202" s="9">
        <v>20000</v>
      </c>
      <c r="D202" s="9">
        <v>6500</v>
      </c>
      <c r="E202" s="23">
        <f t="shared" si="14"/>
        <v>140000</v>
      </c>
      <c r="F202" s="27"/>
    </row>
    <row r="203" spans="1:7" x14ac:dyDescent="0.25">
      <c r="A203" s="15">
        <f>'Perfect Amounts'!D168-'Perfect Amounts'!E168-F203</f>
        <v>3</v>
      </c>
      <c r="B203" s="15" t="s">
        <v>119</v>
      </c>
      <c r="C203" s="9">
        <v>20000</v>
      </c>
      <c r="D203" s="9">
        <v>7000</v>
      </c>
      <c r="E203" s="23">
        <f t="shared" si="14"/>
        <v>60000</v>
      </c>
      <c r="F203" s="27"/>
    </row>
    <row r="204" spans="1:7" x14ac:dyDescent="0.25">
      <c r="A204" s="15">
        <f>'Perfect Amounts'!D187-'Perfect Amounts'!E187-F204</f>
        <v>4</v>
      </c>
      <c r="B204" s="15" t="s">
        <v>163</v>
      </c>
      <c r="C204" s="9">
        <v>20000</v>
      </c>
      <c r="D204" s="9">
        <v>10000</v>
      </c>
      <c r="E204" s="23">
        <f t="shared" si="14"/>
        <v>80000</v>
      </c>
      <c r="F204" s="27"/>
    </row>
    <row r="205" spans="1:7" x14ac:dyDescent="0.25">
      <c r="A205" s="15">
        <f>'Perfect Amounts'!D188-'Perfect Amounts'!E188-F205</f>
        <v>3</v>
      </c>
      <c r="B205" s="15" t="s">
        <v>147</v>
      </c>
      <c r="C205" s="9">
        <v>26000</v>
      </c>
      <c r="D205" s="9">
        <v>11250</v>
      </c>
      <c r="E205" s="23">
        <f t="shared" si="14"/>
        <v>78000</v>
      </c>
      <c r="F205" s="27"/>
    </row>
    <row r="206" spans="1:7" x14ac:dyDescent="0.25">
      <c r="A206" s="15">
        <f>'Perfect Amounts'!D195-'Perfect Amounts'!E195-'Future Treasures'!C129-F206</f>
        <v>5</v>
      </c>
      <c r="B206" s="15" t="s">
        <v>169</v>
      </c>
      <c r="C206" s="9">
        <v>20000</v>
      </c>
      <c r="D206" s="9">
        <v>20000</v>
      </c>
      <c r="E206" s="23">
        <f t="shared" si="14"/>
        <v>100000</v>
      </c>
      <c r="F206" s="27"/>
    </row>
    <row r="207" spans="1:7" x14ac:dyDescent="0.25">
      <c r="A207" s="15">
        <f>'Perfect Amounts'!D212-'Perfect Amounts'!E212-F207</f>
        <v>3</v>
      </c>
      <c r="B207" s="15" t="s">
        <v>180</v>
      </c>
      <c r="C207" s="9">
        <v>45000</v>
      </c>
      <c r="D207" s="9">
        <v>14000</v>
      </c>
      <c r="E207" s="23">
        <f t="shared" si="14"/>
        <v>135000</v>
      </c>
      <c r="F207" s="27"/>
    </row>
    <row r="208" spans="1:7" x14ac:dyDescent="0.25">
      <c r="A208" s="15">
        <f>'Perfect Amounts'!D156-'Perfect Amounts'!E156+'Perfect Amounts'!D225-'Perfect Amounts'!E225-'Future Treasures'!C156-F208</f>
        <v>16</v>
      </c>
      <c r="B208" s="15" t="s">
        <v>223</v>
      </c>
      <c r="C208" s="9">
        <v>24000</v>
      </c>
      <c r="D208" s="9">
        <v>18000</v>
      </c>
      <c r="E208" s="23">
        <f t="shared" si="14"/>
        <v>384000</v>
      </c>
      <c r="F208" s="27"/>
    </row>
    <row r="209" spans="1:7" x14ac:dyDescent="0.25">
      <c r="B209" s="15" t="s">
        <v>71</v>
      </c>
    </row>
    <row r="210" spans="1:7" x14ac:dyDescent="0.25">
      <c r="B210" s="15" t="s">
        <v>188</v>
      </c>
    </row>
    <row r="211" spans="1:7" x14ac:dyDescent="0.25">
      <c r="B211" s="15" t="s">
        <v>213</v>
      </c>
    </row>
    <row r="212" spans="1:7" x14ac:dyDescent="0.25">
      <c r="B212" s="15" t="s">
        <v>227</v>
      </c>
    </row>
    <row r="213" spans="1:7" x14ac:dyDescent="0.25">
      <c r="B213" s="15" t="s">
        <v>211</v>
      </c>
    </row>
    <row r="214" spans="1:7" x14ac:dyDescent="0.25">
      <c r="B214" s="15" t="s">
        <v>228</v>
      </c>
    </row>
    <row r="215" spans="1:7" x14ac:dyDescent="0.25">
      <c r="B215" s="15" t="s">
        <v>256</v>
      </c>
    </row>
    <row r="216" spans="1:7" x14ac:dyDescent="0.25">
      <c r="A216" s="96"/>
      <c r="B216" s="97"/>
      <c r="C216" s="97"/>
      <c r="D216" s="97"/>
      <c r="E216" s="97"/>
      <c r="F216" s="98"/>
    </row>
    <row r="217" spans="1:7" x14ac:dyDescent="0.25">
      <c r="A217" s="15" t="s">
        <v>259</v>
      </c>
      <c r="B217" s="93">
        <f>SUM(E196:E215)</f>
        <v>1339600</v>
      </c>
      <c r="C217" s="94"/>
      <c r="D217" s="94"/>
      <c r="E217" s="94"/>
      <c r="F217" s="95"/>
    </row>
    <row r="218" spans="1:7" x14ac:dyDescent="0.25">
      <c r="A218" s="99" t="s">
        <v>344</v>
      </c>
      <c r="B218" s="100"/>
      <c r="C218" s="100"/>
      <c r="D218" s="100"/>
      <c r="E218" s="100"/>
      <c r="F218" s="101"/>
    </row>
    <row r="219" spans="1:7" ht="13.5" customHeight="1" x14ac:dyDescent="0.25">
      <c r="A219" s="102"/>
      <c r="B219" s="103"/>
      <c r="C219" s="103"/>
      <c r="D219" s="103"/>
      <c r="E219" s="103"/>
      <c r="F219" s="104"/>
    </row>
    <row r="220" spans="1:7" x14ac:dyDescent="0.25">
      <c r="A220" s="9" t="s">
        <v>257</v>
      </c>
      <c r="B220" s="9" t="s">
        <v>0</v>
      </c>
      <c r="C220" s="9" t="s">
        <v>4</v>
      </c>
      <c r="D220" s="9" t="s">
        <v>247</v>
      </c>
      <c r="E220" s="9" t="s">
        <v>5</v>
      </c>
      <c r="F220" s="21" t="s">
        <v>290</v>
      </c>
    </row>
    <row r="221" spans="1:7" x14ac:dyDescent="0.25">
      <c r="A221" s="15">
        <f>'Perfect Amounts'!D87-'Perfect Amounts'!E87-'Future Treasures'!C60-F221</f>
        <v>2</v>
      </c>
      <c r="B221" s="25" t="s">
        <v>79</v>
      </c>
      <c r="C221" s="9">
        <v>2700</v>
      </c>
      <c r="D221" s="9">
        <f>C221/2</f>
        <v>1350</v>
      </c>
      <c r="E221" s="26">
        <f>IF(A221&gt;0,C221*A221,A221*D221)</f>
        <v>5400</v>
      </c>
      <c r="F221" s="28"/>
      <c r="G221" s="65"/>
    </row>
    <row r="222" spans="1:7" x14ac:dyDescent="0.25">
      <c r="A222" s="15">
        <f>'Perfect Amounts'!D176-'Perfect Amounts'!E176-F222</f>
        <v>7</v>
      </c>
      <c r="B222" s="25" t="s">
        <v>146</v>
      </c>
      <c r="C222" s="9">
        <v>1600</v>
      </c>
      <c r="D222" s="9">
        <f>C222/2</f>
        <v>800</v>
      </c>
      <c r="E222" s="26">
        <f>IF(A222&gt;0,C222*A222,A222*D222)</f>
        <v>11200</v>
      </c>
      <c r="F222" s="28"/>
    </row>
    <row r="223" spans="1:7" x14ac:dyDescent="0.25">
      <c r="A223" s="96"/>
      <c r="B223" s="97"/>
      <c r="C223" s="97"/>
      <c r="D223" s="97"/>
      <c r="E223" s="97"/>
      <c r="F223" s="98"/>
    </row>
    <row r="224" spans="1:7" x14ac:dyDescent="0.25">
      <c r="A224" s="15" t="s">
        <v>259</v>
      </c>
      <c r="B224" s="96">
        <f>SUM(E221:E222)</f>
        <v>16600</v>
      </c>
      <c r="C224" s="97"/>
      <c r="D224" s="97"/>
      <c r="E224" s="97"/>
      <c r="F224" s="98"/>
    </row>
    <row r="225" spans="1:6" x14ac:dyDescent="0.25">
      <c r="A225" s="99" t="s">
        <v>273</v>
      </c>
      <c r="B225" s="100"/>
      <c r="C225" s="100"/>
      <c r="D225" s="100"/>
      <c r="E225" s="100"/>
      <c r="F225" s="101"/>
    </row>
    <row r="226" spans="1:6" ht="14.25" customHeight="1" x14ac:dyDescent="0.25">
      <c r="A226" s="102"/>
      <c r="B226" s="103"/>
      <c r="C226" s="103"/>
      <c r="D226" s="103"/>
      <c r="E226" s="103"/>
      <c r="F226" s="104"/>
    </row>
    <row r="227" spans="1:6" x14ac:dyDescent="0.25">
      <c r="A227" s="9" t="s">
        <v>271</v>
      </c>
      <c r="B227" s="9" t="s">
        <v>0</v>
      </c>
      <c r="C227" s="9" t="s">
        <v>4</v>
      </c>
      <c r="D227" s="9" t="s">
        <v>247</v>
      </c>
      <c r="E227" s="9" t="s">
        <v>5</v>
      </c>
      <c r="F227" s="21" t="s">
        <v>290</v>
      </c>
    </row>
    <row r="228" spans="1:6" x14ac:dyDescent="0.25">
      <c r="A228" s="15">
        <f>'Perfect Amounts'!D196-'Perfect Amounts'!E196-'Future Treasures'!C131-F228</f>
        <v>5</v>
      </c>
      <c r="B228" s="15" t="s">
        <v>170</v>
      </c>
      <c r="C228" s="9">
        <v>30000</v>
      </c>
      <c r="D228" s="9">
        <v>26000</v>
      </c>
      <c r="E228" s="23">
        <f>IF(A228&gt;0,A228*C228,A228*D228)</f>
        <v>150000</v>
      </c>
      <c r="F228" s="27"/>
    </row>
    <row r="229" spans="1:6" x14ac:dyDescent="0.25">
      <c r="A229" s="15">
        <f>'Perfect Amounts'!D49-'Perfect Amounts'!E49-F229</f>
        <v>1</v>
      </c>
      <c r="B229" s="15" t="s">
        <v>41</v>
      </c>
      <c r="C229" s="9">
        <v>50000</v>
      </c>
      <c r="D229" s="9">
        <v>1</v>
      </c>
      <c r="E229" s="23">
        <f>IF(A229&gt;0,A229*C229,A229*D229)</f>
        <v>50000</v>
      </c>
      <c r="F229" s="27"/>
    </row>
    <row r="230" spans="1:6" x14ac:dyDescent="0.25">
      <c r="A230" s="15">
        <f>'Perfect Amounts'!D16-'Perfect Amounts'!E16-F230-'Future Treasures'!C15</f>
        <v>99</v>
      </c>
      <c r="B230" s="15" t="s">
        <v>214</v>
      </c>
      <c r="C230" s="9">
        <v>300</v>
      </c>
      <c r="D230" s="9">
        <v>1000</v>
      </c>
      <c r="E230" s="23">
        <f>IF(A230&gt;0,A230*C230,A230*D230)</f>
        <v>29700</v>
      </c>
      <c r="F230" s="27"/>
    </row>
    <row r="231" spans="1:6" x14ac:dyDescent="0.25">
      <c r="A231" s="15">
        <f>'Perfect Amounts'!D4-'Perfect Amounts'!E4-F231-'Future Treasures'!C2</f>
        <v>99</v>
      </c>
      <c r="B231" s="15" t="s">
        <v>246</v>
      </c>
      <c r="C231" s="9">
        <v>500</v>
      </c>
      <c r="D231" s="9">
        <v>1000</v>
      </c>
      <c r="E231" s="23">
        <f>IF(A231&gt;0,A231*C231,A231*D231)</f>
        <v>49500</v>
      </c>
      <c r="F231" s="27"/>
    </row>
    <row r="232" spans="1:6" x14ac:dyDescent="0.25">
      <c r="A232" s="96"/>
      <c r="B232" s="97"/>
      <c r="C232" s="97"/>
      <c r="D232" s="97"/>
      <c r="E232" s="97"/>
      <c r="F232" s="98"/>
    </row>
    <row r="233" spans="1:6" x14ac:dyDescent="0.25">
      <c r="A233" s="15" t="s">
        <v>259</v>
      </c>
      <c r="B233" s="93">
        <f>SUM(E228:E231)</f>
        <v>279200</v>
      </c>
      <c r="C233" s="94"/>
      <c r="D233" s="94"/>
      <c r="E233" s="94"/>
      <c r="F233" s="95"/>
    </row>
    <row r="234" spans="1:6" x14ac:dyDescent="0.25">
      <c r="A234" s="29"/>
    </row>
  </sheetData>
  <sheetProtection password="C81A" sheet="1" objects="1" scenarios="1" selectLockedCells="1"/>
  <mergeCells count="65">
    <mergeCell ref="A123:F124"/>
    <mergeCell ref="A68:F68"/>
    <mergeCell ref="B69:F69"/>
    <mergeCell ref="A49:F50"/>
    <mergeCell ref="H30:K30"/>
    <mergeCell ref="H31:K31"/>
    <mergeCell ref="A70:F71"/>
    <mergeCell ref="A91:F92"/>
    <mergeCell ref="H56:K56"/>
    <mergeCell ref="H52:K52"/>
    <mergeCell ref="H55:K55"/>
    <mergeCell ref="H51:K51"/>
    <mergeCell ref="H38:K38"/>
    <mergeCell ref="H46:K46"/>
    <mergeCell ref="H47:K47"/>
    <mergeCell ref="H50:K50"/>
    <mergeCell ref="O11:P11"/>
    <mergeCell ref="J11:K11"/>
    <mergeCell ref="H25:K25"/>
    <mergeCell ref="J12:K12"/>
    <mergeCell ref="H34:K34"/>
    <mergeCell ref="H32:K32"/>
    <mergeCell ref="H33:K33"/>
    <mergeCell ref="A232:F232"/>
    <mergeCell ref="B224:F224"/>
    <mergeCell ref="A223:F223"/>
    <mergeCell ref="A225:F226"/>
    <mergeCell ref="A162:F162"/>
    <mergeCell ref="B163:F163"/>
    <mergeCell ref="B181:F181"/>
    <mergeCell ref="B192:F192"/>
    <mergeCell ref="B217:F217"/>
    <mergeCell ref="A216:F216"/>
    <mergeCell ref="A191:F191"/>
    <mergeCell ref="A164:F165"/>
    <mergeCell ref="B169:F169"/>
    <mergeCell ref="A168:F168"/>
    <mergeCell ref="L3:M3"/>
    <mergeCell ref="H3:K7"/>
    <mergeCell ref="L9:M10"/>
    <mergeCell ref="N9:N10"/>
    <mergeCell ref="H18:K18"/>
    <mergeCell ref="A1:F1"/>
    <mergeCell ref="A3:F3"/>
    <mergeCell ref="A47:F47"/>
    <mergeCell ref="A10:F10"/>
    <mergeCell ref="B48:F48"/>
    <mergeCell ref="B11:F11"/>
    <mergeCell ref="A12:F13"/>
    <mergeCell ref="H1:J1"/>
    <mergeCell ref="B233:F233"/>
    <mergeCell ref="A180:F180"/>
    <mergeCell ref="A135:F136"/>
    <mergeCell ref="A170:F171"/>
    <mergeCell ref="A182:F183"/>
    <mergeCell ref="A193:F194"/>
    <mergeCell ref="A218:F219"/>
    <mergeCell ref="A89:F89"/>
    <mergeCell ref="B90:F90"/>
    <mergeCell ref="A121:F121"/>
    <mergeCell ref="A133:F133"/>
    <mergeCell ref="B134:F134"/>
    <mergeCell ref="B122:F122"/>
    <mergeCell ref="H9:I10"/>
    <mergeCell ref="J9:K10"/>
  </mergeCells>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zoomScaleNormal="100" workbookViewId="0">
      <selection sqref="A1:O1"/>
    </sheetView>
  </sheetViews>
  <sheetFormatPr defaultRowHeight="15" x14ac:dyDescent="0.25"/>
  <cols>
    <col min="15" max="15" width="11.7109375" customWidth="1"/>
    <col min="16" max="26" width="9.140625" style="140"/>
  </cols>
  <sheetData>
    <row r="1" spans="1:15" ht="29.25" customHeight="1" x14ac:dyDescent="0.25">
      <c r="A1" s="128" t="s">
        <v>430</v>
      </c>
      <c r="B1" s="128"/>
      <c r="C1" s="128"/>
      <c r="D1" s="128"/>
      <c r="E1" s="128"/>
      <c r="F1" s="128"/>
      <c r="G1" s="128"/>
      <c r="H1" s="128"/>
      <c r="I1" s="128"/>
      <c r="J1" s="128"/>
      <c r="K1" s="128"/>
      <c r="L1" s="128"/>
      <c r="M1" s="128"/>
      <c r="N1" s="128"/>
      <c r="O1" s="128"/>
    </row>
    <row r="2" spans="1:15" s="75" customFormat="1" ht="15" customHeight="1" x14ac:dyDescent="0.25">
      <c r="A2" s="74"/>
      <c r="B2" s="74"/>
      <c r="C2" s="74"/>
      <c r="D2" s="74"/>
      <c r="E2" s="74"/>
      <c r="F2" s="74"/>
      <c r="G2" s="74"/>
      <c r="H2" s="74"/>
      <c r="I2" s="74"/>
      <c r="J2" s="74"/>
      <c r="K2" s="74"/>
      <c r="L2" s="74"/>
      <c r="M2" s="74"/>
      <c r="N2" s="74"/>
      <c r="O2" s="74"/>
    </row>
    <row r="3" spans="1:15" x14ac:dyDescent="0.25">
      <c r="A3" s="127"/>
      <c r="B3" s="127"/>
      <c r="C3" s="127"/>
      <c r="D3" s="127"/>
      <c r="E3" s="127"/>
      <c r="F3" s="127"/>
      <c r="G3" s="127"/>
      <c r="H3" s="127"/>
      <c r="I3" s="127"/>
      <c r="J3" s="127"/>
      <c r="K3" s="127"/>
      <c r="L3" s="127"/>
      <c r="M3" s="127"/>
      <c r="N3" s="127"/>
      <c r="O3" s="127"/>
    </row>
    <row r="4" spans="1:15" x14ac:dyDescent="0.25">
      <c r="A4" s="127"/>
      <c r="B4" s="127"/>
      <c r="C4" s="127"/>
      <c r="D4" s="127"/>
      <c r="E4" s="127"/>
      <c r="F4" s="127"/>
      <c r="G4" s="127"/>
      <c r="H4" s="127"/>
      <c r="I4" s="127"/>
      <c r="J4" s="127"/>
      <c r="K4" s="127"/>
      <c r="L4" s="127"/>
      <c r="M4" s="127"/>
      <c r="N4" s="127"/>
      <c r="O4" s="127"/>
    </row>
    <row r="5" spans="1:15" x14ac:dyDescent="0.25">
      <c r="A5" s="127"/>
      <c r="B5" s="127"/>
      <c r="C5" s="127"/>
      <c r="D5" s="127"/>
      <c r="E5" s="127"/>
      <c r="F5" s="127"/>
      <c r="G5" s="127"/>
      <c r="H5" s="127"/>
      <c r="I5" s="127"/>
      <c r="J5" s="127"/>
      <c r="K5" s="127"/>
      <c r="L5" s="127"/>
      <c r="M5" s="127"/>
      <c r="N5" s="127"/>
      <c r="O5" s="127"/>
    </row>
    <row r="6" spans="1:15" x14ac:dyDescent="0.25">
      <c r="A6" s="127"/>
      <c r="B6" s="127"/>
      <c r="C6" s="127"/>
      <c r="D6" s="127"/>
      <c r="E6" s="127"/>
      <c r="F6" s="127"/>
      <c r="G6" s="127"/>
      <c r="H6" s="127"/>
      <c r="I6" s="127"/>
      <c r="J6" s="127"/>
      <c r="K6" s="127"/>
      <c r="L6" s="127"/>
      <c r="M6" s="127"/>
      <c r="N6" s="127"/>
      <c r="O6" s="127"/>
    </row>
  </sheetData>
  <sheetProtection password="C81A" sheet="1" objects="1" scenarios="1" selectLockedCells="1"/>
  <mergeCells count="2">
    <mergeCell ref="A3:O6"/>
    <mergeCell ref="A1:O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Perfect Amounts</vt:lpstr>
      <vt:lpstr>Future Treasures</vt:lpstr>
      <vt:lpstr>Buying and Synthing</vt:lpstr>
      <vt:lpstr>Math Behind This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ethan.smith</dc:creator>
  <cp:lastModifiedBy>Public</cp:lastModifiedBy>
  <dcterms:created xsi:type="dcterms:W3CDTF">2010-10-18T16:40:38Z</dcterms:created>
  <dcterms:modified xsi:type="dcterms:W3CDTF">2013-02-21T18:50:55Z</dcterms:modified>
</cp:coreProperties>
</file>